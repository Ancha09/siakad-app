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7374522-B4F2-45ED-95EC-D1739FB2B423}" xr6:coauthVersionLast="47" xr6:coauthVersionMax="47" xr10:uidLastSave="{00000000-0000-0000-0000-000000000000}"/>
  <bookViews>
    <workbookView xWindow="-108" yWindow="-108" windowWidth="23256" windowHeight="13176" xr2:uid="{04A705F3-E5AB-4974-BB61-60E517E78D42}"/>
  </bookViews>
  <sheets>
    <sheet name="Sheet1" sheetId="1" r:id="rId1"/>
  </sheets>
  <externalReferences>
    <externalReference r:id="rId2"/>
  </externalReferences>
  <definedNames>
    <definedName name="_Hlk231732097" localSheetId="0">Sheet1!$I$2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1" i="1" l="1"/>
  <c r="E189" i="1"/>
  <c r="F189" i="1" s="1"/>
  <c r="E188" i="1"/>
  <c r="F188" i="1" s="1"/>
  <c r="E187" i="1"/>
  <c r="D182" i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D171" i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D156" i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D137" i="1"/>
  <c r="E136" i="1"/>
  <c r="F136" i="1" s="1"/>
  <c r="E135" i="1"/>
  <c r="F135" i="1" s="1"/>
  <c r="E134" i="1"/>
  <c r="F134" i="1" s="1"/>
  <c r="E133" i="1"/>
  <c r="F133" i="1" s="1"/>
  <c r="E132" i="1"/>
  <c r="D127" i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D104" i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D85" i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D46" i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D172" i="1" l="1"/>
  <c r="D157" i="1"/>
  <c r="F176" i="1"/>
  <c r="D183" i="1" s="1"/>
  <c r="F142" i="1"/>
  <c r="F3" i="1"/>
  <c r="D47" i="1" s="1"/>
  <c r="F187" i="1"/>
  <c r="D192" i="1" s="1"/>
  <c r="F110" i="1"/>
  <c r="D128" i="1" s="1"/>
  <c r="D86" i="1"/>
  <c r="F132" i="1"/>
  <c r="D138" i="1" s="1"/>
  <c r="F91" i="1"/>
  <c r="D105" i="1" s="1"/>
</calcChain>
</file>

<file path=xl/sharedStrings.xml><?xml version="1.0" encoding="utf-8"?>
<sst xmlns="http://schemas.openxmlformats.org/spreadsheetml/2006/main" count="373" uniqueCount="149">
  <si>
    <t>CPL 1 — Rekayasa, sains, matematika profesional (eksplorasi-eksploitasi)</t>
  </si>
  <si>
    <t>Kode MK</t>
  </si>
  <si>
    <t>Nama Mata Kuliah</t>
  </si>
  <si>
    <t>Semester</t>
  </si>
  <si>
    <t>SKS</t>
  </si>
  <si>
    <t>Nilai Mutu</t>
  </si>
  <si>
    <t>Mutu × SKS</t>
  </si>
  <si>
    <t>KU 103</t>
  </si>
  <si>
    <t>Matematika I</t>
  </si>
  <si>
    <t>KU 104</t>
  </si>
  <si>
    <t>Fisika Dasar I (P)</t>
  </si>
  <si>
    <t>KU 105</t>
  </si>
  <si>
    <t>Kimia Dasar I (P)</t>
  </si>
  <si>
    <t>TA 106</t>
  </si>
  <si>
    <t>Pengantar Ilmu Kebumian &amp; Pertambangan</t>
  </si>
  <si>
    <t>GL 101</t>
  </si>
  <si>
    <t>Geologi Fisik</t>
  </si>
  <si>
    <t>KU 202</t>
  </si>
  <si>
    <t>Matematika II</t>
  </si>
  <si>
    <t>KU 203</t>
  </si>
  <si>
    <t>Fisika Dasar II (P)</t>
  </si>
  <si>
    <t>KU 204</t>
  </si>
  <si>
    <t>Kimia Dasar II (P)</t>
  </si>
  <si>
    <t>GL 201</t>
  </si>
  <si>
    <t>Geologi Dinamik</t>
  </si>
  <si>
    <t>TA 301</t>
  </si>
  <si>
    <t>Bahan Galian Indonesia</t>
  </si>
  <si>
    <t>KU 303</t>
  </si>
  <si>
    <t>Statistika</t>
  </si>
  <si>
    <t>TA 303</t>
  </si>
  <si>
    <t>Pengantar Teknik &amp; Mesin Fluida</t>
  </si>
  <si>
    <t>KU 301</t>
  </si>
  <si>
    <t>Kimia Analitik</t>
  </si>
  <si>
    <t>TA 302</t>
  </si>
  <si>
    <t>Mekanika Tanah (P)</t>
  </si>
  <si>
    <t>GL 302</t>
  </si>
  <si>
    <t>Kristal &amp; Mineral (P)</t>
  </si>
  <si>
    <t>GL 401</t>
  </si>
  <si>
    <t>Petrologi (P)</t>
  </si>
  <si>
    <t>TA 403</t>
  </si>
  <si>
    <t>Survey dan Pemetaan</t>
  </si>
  <si>
    <t>TA 404</t>
  </si>
  <si>
    <t>Mekanika Teknik</t>
  </si>
  <si>
    <t>TA 401</t>
  </si>
  <si>
    <t>Metode Numerik</t>
  </si>
  <si>
    <t>TA 405</t>
  </si>
  <si>
    <t>Termodinamika Tambang</t>
  </si>
  <si>
    <t>TA 402</t>
  </si>
  <si>
    <t>Kimia Fisik</t>
  </si>
  <si>
    <t>GL 301</t>
  </si>
  <si>
    <t>Geologi Struktur</t>
  </si>
  <si>
    <t>GL 402</t>
  </si>
  <si>
    <t>Mikroskopik Bijih</t>
  </si>
  <si>
    <t>TA 507</t>
  </si>
  <si>
    <t>Bahan Galian Industri</t>
  </si>
  <si>
    <t>TA 502</t>
  </si>
  <si>
    <t>Ilmu Ukur Tambang</t>
  </si>
  <si>
    <t>TA 504</t>
  </si>
  <si>
    <t>Pengolahan Bahan Galian</t>
  </si>
  <si>
    <t>TA 503</t>
  </si>
  <si>
    <t>Teknik Tenaga Listrik &amp; Penggerak Mula</t>
  </si>
  <si>
    <t>TA 505</t>
  </si>
  <si>
    <t>Mekanika Batuan</t>
  </si>
  <si>
    <t>TA 501</t>
  </si>
  <si>
    <t>Sistem Penambangan</t>
  </si>
  <si>
    <t>TA 508</t>
  </si>
  <si>
    <t>Peralatan Tambang &amp; Penanganan Mineral</t>
  </si>
  <si>
    <t>TA 603</t>
  </si>
  <si>
    <t>Teknik Peledakan</t>
  </si>
  <si>
    <t>TA 607</t>
  </si>
  <si>
    <t>Pembukaan Tambang Bawah Tanah</t>
  </si>
  <si>
    <t>TA 604</t>
  </si>
  <si>
    <t>Geostatistik</t>
  </si>
  <si>
    <t>TA 606</t>
  </si>
  <si>
    <t>Geologi dan Teknik Eksplorasi</t>
  </si>
  <si>
    <t>TA 605</t>
  </si>
  <si>
    <t>Geoteknik Tambang</t>
  </si>
  <si>
    <t>TA 704</t>
  </si>
  <si>
    <t>Penambangan &amp; Pemanfaatan Batu Bara</t>
  </si>
  <si>
    <t>TA 703</t>
  </si>
  <si>
    <t>Ventilasi Tambang</t>
  </si>
  <si>
    <t>TA 702</t>
  </si>
  <si>
    <t>Perencanaan &amp; Desain Tambang (Capstone)</t>
  </si>
  <si>
    <t>KU 701</t>
  </si>
  <si>
    <t>Metode Penelitian Tambang</t>
  </si>
  <si>
    <t>TA 709</t>
  </si>
  <si>
    <t>Seminar Tambang</t>
  </si>
  <si>
    <t>TA 705</t>
  </si>
  <si>
    <t>AMDAL</t>
  </si>
  <si>
    <t>TA 801</t>
  </si>
  <si>
    <t>Skripsi</t>
  </si>
  <si>
    <t>KU 302</t>
  </si>
  <si>
    <t>Matriks Ruang Vektor</t>
  </si>
  <si>
    <t>Total SKS →</t>
  </si>
  <si>
    <t>IPK CPL 1 →</t>
  </si>
  <si>
    <t>CPL 2 — Solusi rekayasa berkelanjutan &amp; berwawasan lingkungan</t>
  </si>
  <si>
    <t>KU 304</t>
  </si>
  <si>
    <t>Pengantar GIS</t>
  </si>
  <si>
    <t>TA 406</t>
  </si>
  <si>
    <t>UU dan K3 Tambang</t>
  </si>
  <si>
    <t>TA 506</t>
  </si>
  <si>
    <t>MK Pilihan 1</t>
  </si>
  <si>
    <t>TA 608</t>
  </si>
  <si>
    <t>Kerja Praktik</t>
  </si>
  <si>
    <t>TA 601</t>
  </si>
  <si>
    <t>MK Pilihan 2</t>
  </si>
  <si>
    <t>TA 602</t>
  </si>
  <si>
    <t>MK Pilihan 3</t>
  </si>
  <si>
    <t>TA 609</t>
  </si>
  <si>
    <t>Manajemen Tambang</t>
  </si>
  <si>
    <t>TA 707</t>
  </si>
  <si>
    <t>Analisis Investasi Tambang</t>
  </si>
  <si>
    <t>TA 706</t>
  </si>
  <si>
    <t>Reklamasi &amp; Penutupan Tambang</t>
  </si>
  <si>
    <t>IPK CPL 2 →</t>
  </si>
  <si>
    <t>CPL 3 — Menyampaikan gagasan/laporan teknis sistematis</t>
  </si>
  <si>
    <t>KU 205</t>
  </si>
  <si>
    <t>Bahasa Inggris</t>
  </si>
  <si>
    <t>KU 201</t>
  </si>
  <si>
    <t>Pendidikan Agama</t>
  </si>
  <si>
    <t>KU 102</t>
  </si>
  <si>
    <t>Pendidikan Pancasila</t>
  </si>
  <si>
    <t>KU 101</t>
  </si>
  <si>
    <t>Bahasa Indonesia</t>
  </si>
  <si>
    <t>KU 206</t>
  </si>
  <si>
    <t>Pendidikan Kewarganegaraan</t>
  </si>
  <si>
    <t>IPK CPL 3 →</t>
  </si>
  <si>
    <t>CPL 4 — Etika profesi keteknikan pertambangan</t>
  </si>
  <si>
    <t>IPK CPL 4 →</t>
  </si>
  <si>
    <t>CPL 5 — Jejaring kerja sama &amp; kerja tim multidisiplin</t>
  </si>
  <si>
    <t>IPK CPL 5 →</t>
  </si>
  <si>
    <t>CPL 6 — Penelitian inovatif &amp; aplikatif</t>
  </si>
  <si>
    <t>IPK CPL 6 →</t>
  </si>
  <si>
    <t>CPL 7 — Pengembangan diri mandiri &amp; IPTEK terkini</t>
  </si>
  <si>
    <t>IPK CPL 7 →</t>
  </si>
  <si>
    <t>CPL 8 — Peluang usaha &amp; KEWIRAUSAHAAN jasa/industri tambang</t>
  </si>
  <si>
    <t>Bahan Galian Indonesia  [usulan manual]</t>
  </si>
  <si>
    <t>UU dan K3 Tambang  [usulan manual]</t>
  </si>
  <si>
    <t xml:space="preserve">Bahan Galian Industri </t>
  </si>
  <si>
    <t xml:space="preserve">Analisis Investasi Tambang </t>
  </si>
  <si>
    <t xml:space="preserve">Perencanaan &amp; Desain Tambang (Capstone)  </t>
  </si>
  <si>
    <t>IPK CPL 8 →</t>
  </si>
  <si>
    <t>CPL 9 — Intelektualitas &amp; inovasi khas STTMI</t>
  </si>
  <si>
    <t xml:space="preserve">Metode Penelitian Tambang </t>
  </si>
  <si>
    <t xml:space="preserve">Perencanaan &amp; Desain Tambang (Capstone) </t>
  </si>
  <si>
    <t xml:space="preserve">Skripsi </t>
  </si>
  <si>
    <t xml:space="preserve">Seminar Tambang  </t>
  </si>
  <si>
    <t>IPK CPL 9 →</t>
  </si>
  <si>
    <t>Rata-rata Nilai Mutu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</si>
</sst>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b/>
      <sz val="9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C00000"/>
      <name val="Arial"/>
      <charset val="1"/>
    </font>
    <font>
      <b/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9E1F2"/>
        <bgColor rgb="FFC6EFCE"/>
      </patternFill>
    </fill>
    <fill>
      <patternFill patternType="solid">
        <fgColor rgb="FF548235"/>
        <bgColor rgb="FF339966"/>
      </patternFill>
    </fill>
    <fill>
      <patternFill patternType="solid">
        <fgColor rgb="FFC6EFCE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4" borderId="0" xfId="0" applyFont="1" applyFill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62630</xdr:colOff>
      <xdr:row>1</xdr:row>
      <xdr:rowOff>15581</xdr:rowOff>
    </xdr:from>
    <xdr:to>
      <xdr:col>19</xdr:col>
      <xdr:colOff>240083</xdr:colOff>
      <xdr:row>44</xdr:row>
      <xdr:rowOff>150855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1E9980-394D-5B3A-4019-94D8D2F58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74685" y="255663"/>
          <a:ext cx="6722302" cy="83293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Pemetaan_Ulang_MK_ke_CPL_Prodi_4.xlsx" TargetMode="External"/><Relationship Id="rId1" Type="http://schemas.openxmlformats.org/officeDocument/2006/relationships/externalLinkPath" Target="Pemetaan_Ulang_MK_ke_CPL_Prodi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todologi"/>
      <sheetName val="Referensi_CPL_Prodi"/>
      <sheetName val="Crosswalk_CPL_KKNI-Prodi"/>
      <sheetName val="Data_Tabel_6.4"/>
      <sheetName val="Usulan_Tambahan_Manual"/>
      <sheetName val="Peta_Ulang_MK-CPL"/>
      <sheetName val="Ringkasan_Cakupan_CPL"/>
      <sheetName val="Nilai_Mutu_MK"/>
      <sheetName val="Daftar_MK_per_CPL"/>
      <sheetName val="Usulan_Proporsional_Pribad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B2" t="str">
            <v>KU 205</v>
          </cell>
          <cell r="F2">
            <v>3.5</v>
          </cell>
        </row>
        <row r="3">
          <cell r="B3" t="str">
            <v>KU 201</v>
          </cell>
        </row>
        <row r="4">
          <cell r="B4" t="str">
            <v>KU 103</v>
          </cell>
        </row>
        <row r="5">
          <cell r="B5" t="str">
            <v>KU 104</v>
          </cell>
        </row>
        <row r="6">
          <cell r="B6" t="str">
            <v>KU 105</v>
          </cell>
        </row>
        <row r="7">
          <cell r="B7" t="str">
            <v>TA 106</v>
          </cell>
        </row>
        <row r="8">
          <cell r="B8" t="str">
            <v>GL 101</v>
          </cell>
        </row>
        <row r="9">
          <cell r="B9" t="str">
            <v>KU 102</v>
          </cell>
        </row>
        <row r="10">
          <cell r="B10" t="str">
            <v>KU 101</v>
          </cell>
        </row>
        <row r="11">
          <cell r="B11" t="str">
            <v>KU 202</v>
          </cell>
        </row>
        <row r="12">
          <cell r="B12" t="str">
            <v>KU 203</v>
          </cell>
        </row>
        <row r="13">
          <cell r="B13" t="str">
            <v>KU 204</v>
          </cell>
        </row>
        <row r="14">
          <cell r="B14" t="str">
            <v>KU 206</v>
          </cell>
        </row>
        <row r="15">
          <cell r="B15" t="str">
            <v>GL 201</v>
          </cell>
        </row>
        <row r="16">
          <cell r="B16" t="str">
            <v>TA 301</v>
          </cell>
        </row>
        <row r="17">
          <cell r="B17" t="str">
            <v>KU 303</v>
          </cell>
        </row>
        <row r="18">
          <cell r="B18" t="str">
            <v>KU 302</v>
          </cell>
        </row>
        <row r="19">
          <cell r="B19" t="str">
            <v>TA 303</v>
          </cell>
        </row>
        <row r="20">
          <cell r="B20" t="str">
            <v>KU 301</v>
          </cell>
        </row>
        <row r="21">
          <cell r="B21" t="str">
            <v>TA 302</v>
          </cell>
        </row>
        <row r="22">
          <cell r="B22" t="str">
            <v>GL 302</v>
          </cell>
        </row>
        <row r="23">
          <cell r="B23" t="str">
            <v>GL 401</v>
          </cell>
        </row>
        <row r="24">
          <cell r="B24" t="str">
            <v>KU 304</v>
          </cell>
        </row>
        <row r="25">
          <cell r="B25" t="str">
            <v>TA 403</v>
          </cell>
        </row>
        <row r="26">
          <cell r="B26" t="str">
            <v>TA 404</v>
          </cell>
        </row>
        <row r="27">
          <cell r="B27" t="str">
            <v>TA 401</v>
          </cell>
        </row>
        <row r="28">
          <cell r="B28" t="str">
            <v>TA 405</v>
          </cell>
        </row>
        <row r="29">
          <cell r="B29" t="str">
            <v>TA 402</v>
          </cell>
        </row>
        <row r="30">
          <cell r="B30" t="str">
            <v>TA 406</v>
          </cell>
        </row>
        <row r="31">
          <cell r="B31" t="str">
            <v>GL 301</v>
          </cell>
        </row>
        <row r="32">
          <cell r="B32" t="str">
            <v>GL 402</v>
          </cell>
        </row>
        <row r="33">
          <cell r="B33" t="str">
            <v>TA 507</v>
          </cell>
        </row>
        <row r="34">
          <cell r="B34" t="str">
            <v>TA 502</v>
          </cell>
        </row>
        <row r="35">
          <cell r="B35" t="str">
            <v>TA 506</v>
          </cell>
        </row>
        <row r="36">
          <cell r="B36" t="str">
            <v>TA 504</v>
          </cell>
        </row>
        <row r="37">
          <cell r="B37" t="str">
            <v>TA 503</v>
          </cell>
        </row>
        <row r="38">
          <cell r="B38" t="str">
            <v>TA 505</v>
          </cell>
        </row>
        <row r="39">
          <cell r="B39" t="str">
            <v>TA 501</v>
          </cell>
        </row>
        <row r="40">
          <cell r="B40" t="str">
            <v>TA 508</v>
          </cell>
        </row>
        <row r="41">
          <cell r="B41" t="str">
            <v>TA 608</v>
          </cell>
        </row>
        <row r="42">
          <cell r="B42" t="str">
            <v>TA 601</v>
          </cell>
        </row>
        <row r="43">
          <cell r="B43" t="str">
            <v>TA 602</v>
          </cell>
        </row>
        <row r="44">
          <cell r="B44" t="str">
            <v>TA 609</v>
          </cell>
        </row>
        <row r="45">
          <cell r="B45" t="str">
            <v>TA 603</v>
          </cell>
        </row>
        <row r="46">
          <cell r="B46" t="str">
            <v>TA 607</v>
          </cell>
        </row>
        <row r="47">
          <cell r="B47" t="str">
            <v>TA 604</v>
          </cell>
        </row>
        <row r="48">
          <cell r="B48" t="str">
            <v>TA 606</v>
          </cell>
        </row>
        <row r="49">
          <cell r="B49" t="str">
            <v>TA 605</v>
          </cell>
        </row>
        <row r="50">
          <cell r="B50" t="str">
            <v>TA 704</v>
          </cell>
        </row>
        <row r="51">
          <cell r="B51" t="str">
            <v>TA 703</v>
          </cell>
        </row>
        <row r="52">
          <cell r="B52" t="str">
            <v>TA 707</v>
          </cell>
        </row>
        <row r="53">
          <cell r="B53" t="str">
            <v>TA 702</v>
          </cell>
        </row>
        <row r="54">
          <cell r="B54" t="str">
            <v>TA 706</v>
          </cell>
        </row>
        <row r="55">
          <cell r="B55" t="str">
            <v>KU 701</v>
          </cell>
        </row>
        <row r="56">
          <cell r="B56" t="str">
            <v>TA 709</v>
          </cell>
        </row>
        <row r="57">
          <cell r="B57" t="str">
            <v>TA 705</v>
          </cell>
        </row>
        <row r="58">
          <cell r="B58" t="str">
            <v>TA 801</v>
          </cell>
        </row>
      </sheetData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130D3-53AA-4AD5-8B2C-0CFF129A2B3E}">
  <dimension ref="A1:F192"/>
  <sheetViews>
    <sheetView tabSelected="1" zoomScale="59" zoomScaleNormal="59" workbookViewId="0">
      <selection activeCell="H14" sqref="H14"/>
    </sheetView>
  </sheetViews>
  <sheetFormatPr defaultColWidth="8.6640625" defaultRowHeight="14.4" x14ac:dyDescent="0.3"/>
  <cols>
    <col min="1" max="1" width="10" customWidth="1"/>
    <col min="2" max="2" width="69" customWidth="1"/>
    <col min="3" max="3" width="8" customWidth="1"/>
    <col min="4" max="4" width="14.5546875" customWidth="1"/>
    <col min="5" max="6" width="12" customWidth="1"/>
  </cols>
  <sheetData>
    <row r="1" spans="1:6" ht="19.5" customHeight="1" x14ac:dyDescent="0.3">
      <c r="A1" s="1" t="s">
        <v>0</v>
      </c>
      <c r="B1" s="1"/>
      <c r="C1" s="1"/>
      <c r="D1" s="1"/>
      <c r="E1" s="1"/>
      <c r="F1" s="1"/>
    </row>
    <row r="2" spans="1:6" ht="24" x14ac:dyDescent="0.3">
      <c r="A2" s="2" t="s">
        <v>1</v>
      </c>
      <c r="B2" s="2" t="s">
        <v>2</v>
      </c>
      <c r="C2" s="2" t="s">
        <v>3</v>
      </c>
      <c r="D2" s="2" t="s">
        <v>4</v>
      </c>
      <c r="E2" s="11" t="s">
        <v>148</v>
      </c>
      <c r="F2" s="2" t="s">
        <v>6</v>
      </c>
    </row>
    <row r="3" spans="1:6" ht="15" customHeight="1" x14ac:dyDescent="0.3">
      <c r="A3" s="3" t="s">
        <v>7</v>
      </c>
      <c r="B3" s="4" t="s">
        <v>8</v>
      </c>
      <c r="C3" s="3">
        <v>1</v>
      </c>
      <c r="D3" s="3">
        <v>4</v>
      </c>
      <c r="E3" s="3" t="str">
        <f>IFERROR(IF(ISBLANK(INDEX([1]Nilai_Mutu_MK!$F$2:$F$58,MATCH($A3,[1]Nilai_Mutu_MK!$B$2:$B$58,0))),"",INDEX([1]Nilai_Mutu_MK!$F$2:$F$58,MATCH($A3,[1]Nilai_Mutu_MK!$B$2:$B$58,0))),"")</f>
        <v/>
      </c>
      <c r="F3" s="3" t="str">
        <f>IF(E3="","",E3*D3)</f>
        <v/>
      </c>
    </row>
    <row r="4" spans="1:6" ht="15" customHeight="1" x14ac:dyDescent="0.3">
      <c r="A4" s="3" t="s">
        <v>9</v>
      </c>
      <c r="B4" s="4" t="s">
        <v>10</v>
      </c>
      <c r="C4" s="3">
        <v>1</v>
      </c>
      <c r="D4" s="3">
        <v>4</v>
      </c>
      <c r="E4" s="3" t="str">
        <f>IFERROR(IF(ISBLANK(INDEX([1]Nilai_Mutu_MK!$F$2:$F$58,MATCH($A4,[1]Nilai_Mutu_MK!$B$2:$B$58,0))),"",INDEX([1]Nilai_Mutu_MK!$F$2:$F$58,MATCH($A4,[1]Nilai_Mutu_MK!$B$2:$B$58,0))),"")</f>
        <v/>
      </c>
      <c r="F4" s="3" t="str">
        <f>IF(E4="","",E4*D4)</f>
        <v/>
      </c>
    </row>
    <row r="5" spans="1:6" ht="15" customHeight="1" x14ac:dyDescent="0.3">
      <c r="A5" s="3" t="s">
        <v>11</v>
      </c>
      <c r="B5" s="4" t="s">
        <v>12</v>
      </c>
      <c r="C5" s="3">
        <v>1</v>
      </c>
      <c r="D5" s="3">
        <v>4</v>
      </c>
      <c r="E5" s="3" t="str">
        <f>IFERROR(IF(ISBLANK(INDEX([1]Nilai_Mutu_MK!$F$2:$F$58,MATCH($A5,[1]Nilai_Mutu_MK!$B$2:$B$58,0))),"",INDEX([1]Nilai_Mutu_MK!$F$2:$F$58,MATCH($A5,[1]Nilai_Mutu_MK!$B$2:$B$58,0))),"")</f>
        <v/>
      </c>
      <c r="F5" s="3" t="str">
        <f>IF(E5="","",E5*D5)</f>
        <v/>
      </c>
    </row>
    <row r="6" spans="1:6" ht="15" customHeight="1" x14ac:dyDescent="0.3">
      <c r="A6" s="3" t="s">
        <v>13</v>
      </c>
      <c r="B6" s="4" t="s">
        <v>14</v>
      </c>
      <c r="C6" s="3">
        <v>1</v>
      </c>
      <c r="D6" s="3">
        <v>2</v>
      </c>
      <c r="E6" s="3" t="str">
        <f>IFERROR(IF(ISBLANK(INDEX([1]Nilai_Mutu_MK!$F$2:$F$58,MATCH($A6,[1]Nilai_Mutu_MK!$B$2:$B$58,0))),"",INDEX([1]Nilai_Mutu_MK!$F$2:$F$58,MATCH($A6,[1]Nilai_Mutu_MK!$B$2:$B$58,0))),"")</f>
        <v/>
      </c>
      <c r="F6" s="3" t="str">
        <f>IF(E6="","",E6*D6)</f>
        <v/>
      </c>
    </row>
    <row r="7" spans="1:6" ht="15" customHeight="1" x14ac:dyDescent="0.3">
      <c r="A7" s="3" t="s">
        <v>15</v>
      </c>
      <c r="B7" s="4" t="s">
        <v>16</v>
      </c>
      <c r="C7" s="3">
        <v>1</v>
      </c>
      <c r="D7" s="3">
        <v>3</v>
      </c>
      <c r="E7" s="3" t="str">
        <f>IFERROR(IF(ISBLANK(INDEX([1]Nilai_Mutu_MK!$F$2:$F$58,MATCH($A7,[1]Nilai_Mutu_MK!$B$2:$B$58,0))),"",INDEX([1]Nilai_Mutu_MK!$F$2:$F$58,MATCH($A7,[1]Nilai_Mutu_MK!$B$2:$B$58,0))),"")</f>
        <v/>
      </c>
      <c r="F7" s="3" t="str">
        <f>IF(E7="","",E7*D7)</f>
        <v/>
      </c>
    </row>
    <row r="8" spans="1:6" ht="15" customHeight="1" x14ac:dyDescent="0.3">
      <c r="A8" s="3" t="s">
        <v>17</v>
      </c>
      <c r="B8" s="4" t="s">
        <v>18</v>
      </c>
      <c r="C8" s="3">
        <v>2</v>
      </c>
      <c r="D8" s="3">
        <v>4</v>
      </c>
      <c r="E8" s="3" t="str">
        <f>IFERROR(IF(ISBLANK(INDEX([1]Nilai_Mutu_MK!$F$2:$F$58,MATCH($A8,[1]Nilai_Mutu_MK!$B$2:$B$58,0))),"",INDEX([1]Nilai_Mutu_MK!$F$2:$F$58,MATCH($A8,[1]Nilai_Mutu_MK!$B$2:$B$58,0))),"")</f>
        <v/>
      </c>
      <c r="F8" s="3" t="str">
        <f>IF(E8="","",E8*D8)</f>
        <v/>
      </c>
    </row>
    <row r="9" spans="1:6" ht="15" customHeight="1" x14ac:dyDescent="0.3">
      <c r="A9" s="3" t="s">
        <v>19</v>
      </c>
      <c r="B9" s="4" t="s">
        <v>20</v>
      </c>
      <c r="C9" s="3">
        <v>2</v>
      </c>
      <c r="D9" s="3">
        <v>4</v>
      </c>
      <c r="E9" s="3" t="str">
        <f>IFERROR(IF(ISBLANK(INDEX([1]Nilai_Mutu_MK!$F$2:$F$58,MATCH($A9,[1]Nilai_Mutu_MK!$B$2:$B$58,0))),"",INDEX([1]Nilai_Mutu_MK!$F$2:$F$58,MATCH($A9,[1]Nilai_Mutu_MK!$B$2:$B$58,0))),"")</f>
        <v/>
      </c>
      <c r="F9" s="3" t="str">
        <f>IF(E9="","",E9*D9)</f>
        <v/>
      </c>
    </row>
    <row r="10" spans="1:6" ht="15" customHeight="1" x14ac:dyDescent="0.3">
      <c r="A10" s="3" t="s">
        <v>21</v>
      </c>
      <c r="B10" s="4" t="s">
        <v>22</v>
      </c>
      <c r="C10" s="3">
        <v>2</v>
      </c>
      <c r="D10" s="3">
        <v>4</v>
      </c>
      <c r="E10" s="3" t="str">
        <f>IFERROR(IF(ISBLANK(INDEX([1]Nilai_Mutu_MK!$F$2:$F$58,MATCH($A10,[1]Nilai_Mutu_MK!$B$2:$B$58,0))),"",INDEX([1]Nilai_Mutu_MK!$F$2:$F$58,MATCH($A10,[1]Nilai_Mutu_MK!$B$2:$B$58,0))),"")</f>
        <v/>
      </c>
      <c r="F10" s="3" t="str">
        <f>IF(E10="","",E10*D10)</f>
        <v/>
      </c>
    </row>
    <row r="11" spans="1:6" ht="15" customHeight="1" x14ac:dyDescent="0.3">
      <c r="A11" s="3" t="s">
        <v>23</v>
      </c>
      <c r="B11" s="4" t="s">
        <v>24</v>
      </c>
      <c r="C11" s="3">
        <v>2</v>
      </c>
      <c r="D11" s="3">
        <v>3</v>
      </c>
      <c r="E11" s="3" t="str">
        <f>IFERROR(IF(ISBLANK(INDEX([1]Nilai_Mutu_MK!$F$2:$F$58,MATCH($A11,[1]Nilai_Mutu_MK!$B$2:$B$58,0))),"",INDEX([1]Nilai_Mutu_MK!$F$2:$F$58,MATCH($A11,[1]Nilai_Mutu_MK!$B$2:$B$58,0))),"")</f>
        <v/>
      </c>
      <c r="F11" s="3" t="str">
        <f>IF(E11="","",E11*D11)</f>
        <v/>
      </c>
    </row>
    <row r="12" spans="1:6" ht="15" customHeight="1" x14ac:dyDescent="0.3">
      <c r="A12" s="3" t="s">
        <v>25</v>
      </c>
      <c r="B12" s="4" t="s">
        <v>26</v>
      </c>
      <c r="C12" s="3">
        <v>3</v>
      </c>
      <c r="D12" s="3">
        <v>2</v>
      </c>
      <c r="E12" s="3" t="str">
        <f>IFERROR(IF(ISBLANK(INDEX([1]Nilai_Mutu_MK!$F$2:$F$58,MATCH($A12,[1]Nilai_Mutu_MK!$B$2:$B$58,0))),"",INDEX([1]Nilai_Mutu_MK!$F$2:$F$58,MATCH($A12,[1]Nilai_Mutu_MK!$B$2:$B$58,0))),"")</f>
        <v/>
      </c>
      <c r="F12" s="3" t="str">
        <f>IF(E12="","",E12*D12)</f>
        <v/>
      </c>
    </row>
    <row r="13" spans="1:6" ht="15" customHeight="1" x14ac:dyDescent="0.3">
      <c r="A13" s="3" t="s">
        <v>27</v>
      </c>
      <c r="B13" s="4" t="s">
        <v>28</v>
      </c>
      <c r="C13" s="3">
        <v>3</v>
      </c>
      <c r="D13" s="3">
        <v>3</v>
      </c>
      <c r="E13" s="3" t="str">
        <f>IFERROR(IF(ISBLANK(INDEX([1]Nilai_Mutu_MK!$F$2:$F$58,MATCH($A13,[1]Nilai_Mutu_MK!$B$2:$B$58,0))),"",INDEX([1]Nilai_Mutu_MK!$F$2:$F$58,MATCH($A13,[1]Nilai_Mutu_MK!$B$2:$B$58,0))),"")</f>
        <v/>
      </c>
      <c r="F13" s="3" t="str">
        <f>IF(E13="","",E13*D13)</f>
        <v/>
      </c>
    </row>
    <row r="14" spans="1:6" ht="15" customHeight="1" x14ac:dyDescent="0.3">
      <c r="A14" s="3" t="s">
        <v>29</v>
      </c>
      <c r="B14" s="4" t="s">
        <v>30</v>
      </c>
      <c r="C14" s="3">
        <v>3</v>
      </c>
      <c r="D14" s="3">
        <v>2</v>
      </c>
      <c r="E14" s="3" t="str">
        <f>IFERROR(IF(ISBLANK(INDEX([1]Nilai_Mutu_MK!$F$2:$F$58,MATCH($A14,[1]Nilai_Mutu_MK!$B$2:$B$58,0))),"",INDEX([1]Nilai_Mutu_MK!$F$2:$F$58,MATCH($A14,[1]Nilai_Mutu_MK!$B$2:$B$58,0))),"")</f>
        <v/>
      </c>
      <c r="F14" s="3" t="str">
        <f>IF(E14="","",E14*D14)</f>
        <v/>
      </c>
    </row>
    <row r="15" spans="1:6" ht="15" customHeight="1" x14ac:dyDescent="0.3">
      <c r="A15" s="3" t="s">
        <v>31</v>
      </c>
      <c r="B15" s="4" t="s">
        <v>32</v>
      </c>
      <c r="C15" s="3">
        <v>3</v>
      </c>
      <c r="D15" s="3">
        <v>3</v>
      </c>
      <c r="E15" s="3" t="str">
        <f>IFERROR(IF(ISBLANK(INDEX([1]Nilai_Mutu_MK!$F$2:$F$58,MATCH($A15,[1]Nilai_Mutu_MK!$B$2:$B$58,0))),"",INDEX([1]Nilai_Mutu_MK!$F$2:$F$58,MATCH($A15,[1]Nilai_Mutu_MK!$B$2:$B$58,0))),"")</f>
        <v/>
      </c>
      <c r="F15" s="3" t="str">
        <f>IF(E15="","",E15*D15)</f>
        <v/>
      </c>
    </row>
    <row r="16" spans="1:6" ht="15" customHeight="1" x14ac:dyDescent="0.3">
      <c r="A16" s="3" t="s">
        <v>33</v>
      </c>
      <c r="B16" s="4" t="s">
        <v>34</v>
      </c>
      <c r="C16" s="3">
        <v>3</v>
      </c>
      <c r="D16" s="3">
        <v>2</v>
      </c>
      <c r="E16" s="3" t="str">
        <f>IFERROR(IF(ISBLANK(INDEX([1]Nilai_Mutu_MK!$F$2:$F$58,MATCH($A16,[1]Nilai_Mutu_MK!$B$2:$B$58,0))),"",INDEX([1]Nilai_Mutu_MK!$F$2:$F$58,MATCH($A16,[1]Nilai_Mutu_MK!$B$2:$B$58,0))),"")</f>
        <v/>
      </c>
      <c r="F16" s="3" t="str">
        <f>IF(E16="","",E16*D16)</f>
        <v/>
      </c>
    </row>
    <row r="17" spans="1:6" ht="15" customHeight="1" x14ac:dyDescent="0.3">
      <c r="A17" s="3" t="s">
        <v>35</v>
      </c>
      <c r="B17" s="4" t="s">
        <v>36</v>
      </c>
      <c r="C17" s="3">
        <v>3</v>
      </c>
      <c r="D17" s="3">
        <v>3</v>
      </c>
      <c r="E17" s="3" t="str">
        <f>IFERROR(IF(ISBLANK(INDEX([1]Nilai_Mutu_MK!$F$2:$F$58,MATCH($A17,[1]Nilai_Mutu_MK!$B$2:$B$58,0))),"",INDEX([1]Nilai_Mutu_MK!$F$2:$F$58,MATCH($A17,[1]Nilai_Mutu_MK!$B$2:$B$58,0))),"")</f>
        <v/>
      </c>
      <c r="F17" s="3" t="str">
        <f>IF(E17="","",E17*D17)</f>
        <v/>
      </c>
    </row>
    <row r="18" spans="1:6" ht="15" customHeight="1" x14ac:dyDescent="0.3">
      <c r="A18" s="3" t="s">
        <v>37</v>
      </c>
      <c r="B18" s="4" t="s">
        <v>38</v>
      </c>
      <c r="C18" s="3">
        <v>3</v>
      </c>
      <c r="D18" s="3">
        <v>3</v>
      </c>
      <c r="E18" s="3" t="str">
        <f>IFERROR(IF(ISBLANK(INDEX([1]Nilai_Mutu_MK!$F$2:$F$58,MATCH($A18,[1]Nilai_Mutu_MK!$B$2:$B$58,0))),"",INDEX([1]Nilai_Mutu_MK!$F$2:$F$58,MATCH($A18,[1]Nilai_Mutu_MK!$B$2:$B$58,0))),"")</f>
        <v/>
      </c>
      <c r="F18" s="3" t="str">
        <f>IF(E18="","",E18*D18)</f>
        <v/>
      </c>
    </row>
    <row r="19" spans="1:6" ht="15" customHeight="1" x14ac:dyDescent="0.3">
      <c r="A19" s="3" t="s">
        <v>39</v>
      </c>
      <c r="B19" s="4" t="s">
        <v>40</v>
      </c>
      <c r="C19" s="3">
        <v>4</v>
      </c>
      <c r="D19" s="3">
        <v>3</v>
      </c>
      <c r="E19" s="3" t="str">
        <f>IFERROR(IF(ISBLANK(INDEX([1]Nilai_Mutu_MK!$F$2:$F$58,MATCH($A19,[1]Nilai_Mutu_MK!$B$2:$B$58,0))),"",INDEX([1]Nilai_Mutu_MK!$F$2:$F$58,MATCH($A19,[1]Nilai_Mutu_MK!$B$2:$B$58,0))),"")</f>
        <v/>
      </c>
      <c r="F19" s="3" t="str">
        <f>IF(E19="","",E19*D19)</f>
        <v/>
      </c>
    </row>
    <row r="20" spans="1:6" ht="15" customHeight="1" x14ac:dyDescent="0.3">
      <c r="A20" s="3" t="s">
        <v>41</v>
      </c>
      <c r="B20" s="4" t="s">
        <v>42</v>
      </c>
      <c r="C20" s="3">
        <v>4</v>
      </c>
      <c r="D20" s="3">
        <v>2</v>
      </c>
      <c r="E20" s="3" t="str">
        <f>IFERROR(IF(ISBLANK(INDEX([1]Nilai_Mutu_MK!$F$2:$F$58,MATCH($A20,[1]Nilai_Mutu_MK!$B$2:$B$58,0))),"",INDEX([1]Nilai_Mutu_MK!$F$2:$F$58,MATCH($A20,[1]Nilai_Mutu_MK!$B$2:$B$58,0))),"")</f>
        <v/>
      </c>
      <c r="F20" s="3" t="str">
        <f>IF(E20="","",E20*D20)</f>
        <v/>
      </c>
    </row>
    <row r="21" spans="1:6" ht="15" customHeight="1" x14ac:dyDescent="0.3">
      <c r="A21" s="3" t="s">
        <v>43</v>
      </c>
      <c r="B21" s="4" t="s">
        <v>44</v>
      </c>
      <c r="C21" s="3">
        <v>4</v>
      </c>
      <c r="D21" s="3">
        <v>3</v>
      </c>
      <c r="E21" s="3" t="str">
        <f>IFERROR(IF(ISBLANK(INDEX([1]Nilai_Mutu_MK!$F$2:$F$58,MATCH($A21,[1]Nilai_Mutu_MK!$B$2:$B$58,0))),"",INDEX([1]Nilai_Mutu_MK!$F$2:$F$58,MATCH($A21,[1]Nilai_Mutu_MK!$B$2:$B$58,0))),"")</f>
        <v/>
      </c>
      <c r="F21" s="3" t="str">
        <f>IF(E21="","",E21*D21)</f>
        <v/>
      </c>
    </row>
    <row r="22" spans="1:6" ht="15" customHeight="1" x14ac:dyDescent="0.3">
      <c r="A22" s="3" t="s">
        <v>45</v>
      </c>
      <c r="B22" s="4" t="s">
        <v>46</v>
      </c>
      <c r="C22" s="3">
        <v>4</v>
      </c>
      <c r="D22" s="3">
        <v>2</v>
      </c>
      <c r="E22" s="3" t="str">
        <f>IFERROR(IF(ISBLANK(INDEX([1]Nilai_Mutu_MK!$F$2:$F$58,MATCH($A22,[1]Nilai_Mutu_MK!$B$2:$B$58,0))),"",INDEX([1]Nilai_Mutu_MK!$F$2:$F$58,MATCH($A22,[1]Nilai_Mutu_MK!$B$2:$B$58,0))),"")</f>
        <v/>
      </c>
      <c r="F22" s="3" t="str">
        <f>IF(E22="","",E22*D22)</f>
        <v/>
      </c>
    </row>
    <row r="23" spans="1:6" ht="15" customHeight="1" x14ac:dyDescent="0.3">
      <c r="A23" s="3" t="s">
        <v>47</v>
      </c>
      <c r="B23" s="4" t="s">
        <v>48</v>
      </c>
      <c r="C23" s="3">
        <v>4</v>
      </c>
      <c r="D23" s="3">
        <v>2</v>
      </c>
      <c r="E23" s="3" t="str">
        <f>IFERROR(IF(ISBLANK(INDEX([1]Nilai_Mutu_MK!$F$2:$F$58,MATCH($A23,[1]Nilai_Mutu_MK!$B$2:$B$58,0))),"",INDEX([1]Nilai_Mutu_MK!$F$2:$F$58,MATCH($A23,[1]Nilai_Mutu_MK!$B$2:$B$58,0))),"")</f>
        <v/>
      </c>
      <c r="F23" s="3" t="str">
        <f>IF(E23="","",E23*D23)</f>
        <v/>
      </c>
    </row>
    <row r="24" spans="1:6" ht="15" customHeight="1" x14ac:dyDescent="0.3">
      <c r="A24" s="3" t="s">
        <v>49</v>
      </c>
      <c r="B24" s="4" t="s">
        <v>50</v>
      </c>
      <c r="C24" s="3">
        <v>4</v>
      </c>
      <c r="D24" s="3">
        <v>3</v>
      </c>
      <c r="E24" s="3" t="str">
        <f>IFERROR(IF(ISBLANK(INDEX([1]Nilai_Mutu_MK!$F$2:$F$58,MATCH($A24,[1]Nilai_Mutu_MK!$B$2:$B$58,0))),"",INDEX([1]Nilai_Mutu_MK!$F$2:$F$58,MATCH($A24,[1]Nilai_Mutu_MK!$B$2:$B$58,0))),"")</f>
        <v/>
      </c>
      <c r="F24" s="3" t="str">
        <f>IF(E24="","",E24*D24)</f>
        <v/>
      </c>
    </row>
    <row r="25" spans="1:6" ht="15" customHeight="1" x14ac:dyDescent="0.3">
      <c r="A25" s="3" t="s">
        <v>51</v>
      </c>
      <c r="B25" s="4" t="s">
        <v>52</v>
      </c>
      <c r="C25" s="3">
        <v>4</v>
      </c>
      <c r="D25" s="3">
        <v>3</v>
      </c>
      <c r="E25" s="3" t="str">
        <f>IFERROR(IF(ISBLANK(INDEX([1]Nilai_Mutu_MK!$F$2:$F$58,MATCH($A25,[1]Nilai_Mutu_MK!$B$2:$B$58,0))),"",INDEX([1]Nilai_Mutu_MK!$F$2:$F$58,MATCH($A25,[1]Nilai_Mutu_MK!$B$2:$B$58,0))),"")</f>
        <v/>
      </c>
      <c r="F25" s="3" t="str">
        <f>IF(E25="","",E25*D25)</f>
        <v/>
      </c>
    </row>
    <row r="26" spans="1:6" ht="15" customHeight="1" x14ac:dyDescent="0.3">
      <c r="A26" s="3" t="s">
        <v>53</v>
      </c>
      <c r="B26" s="4" t="s">
        <v>54</v>
      </c>
      <c r="C26" s="3">
        <v>5</v>
      </c>
      <c r="D26" s="3">
        <v>2</v>
      </c>
      <c r="E26" s="3" t="str">
        <f>IFERROR(IF(ISBLANK(INDEX([1]Nilai_Mutu_MK!$F$2:$F$58,MATCH($A26,[1]Nilai_Mutu_MK!$B$2:$B$58,0))),"",INDEX([1]Nilai_Mutu_MK!$F$2:$F$58,MATCH($A26,[1]Nilai_Mutu_MK!$B$2:$B$58,0))),"")</f>
        <v/>
      </c>
      <c r="F26" s="3" t="str">
        <f>IF(E26="","",E26*D26)</f>
        <v/>
      </c>
    </row>
    <row r="27" spans="1:6" ht="15" customHeight="1" x14ac:dyDescent="0.3">
      <c r="A27" s="3" t="s">
        <v>55</v>
      </c>
      <c r="B27" s="4" t="s">
        <v>56</v>
      </c>
      <c r="C27" s="3">
        <v>5</v>
      </c>
      <c r="D27" s="3">
        <v>3</v>
      </c>
      <c r="E27" s="3" t="str">
        <f>IFERROR(IF(ISBLANK(INDEX([1]Nilai_Mutu_MK!$F$2:$F$58,MATCH($A27,[1]Nilai_Mutu_MK!$B$2:$B$58,0))),"",INDEX([1]Nilai_Mutu_MK!$F$2:$F$58,MATCH($A27,[1]Nilai_Mutu_MK!$B$2:$B$58,0))),"")</f>
        <v/>
      </c>
      <c r="F27" s="3" t="str">
        <f>IF(E27="","",E27*D27)</f>
        <v/>
      </c>
    </row>
    <row r="28" spans="1:6" ht="15" customHeight="1" x14ac:dyDescent="0.3">
      <c r="A28" s="3" t="s">
        <v>57</v>
      </c>
      <c r="B28" s="4" t="s">
        <v>58</v>
      </c>
      <c r="C28" s="3">
        <v>5</v>
      </c>
      <c r="D28" s="3">
        <v>3</v>
      </c>
      <c r="E28" s="3" t="str">
        <f>IFERROR(IF(ISBLANK(INDEX([1]Nilai_Mutu_MK!$F$2:$F$58,MATCH($A28,[1]Nilai_Mutu_MK!$B$2:$B$58,0))),"",INDEX([1]Nilai_Mutu_MK!$F$2:$F$58,MATCH($A28,[1]Nilai_Mutu_MK!$B$2:$B$58,0))),"")</f>
        <v/>
      </c>
      <c r="F28" s="3" t="str">
        <f>IF(E28="","",E28*D28)</f>
        <v/>
      </c>
    </row>
    <row r="29" spans="1:6" ht="15" customHeight="1" x14ac:dyDescent="0.3">
      <c r="A29" s="3" t="s">
        <v>59</v>
      </c>
      <c r="B29" s="4" t="s">
        <v>60</v>
      </c>
      <c r="C29" s="3">
        <v>5</v>
      </c>
      <c r="D29" s="3">
        <v>2</v>
      </c>
      <c r="E29" s="3" t="str">
        <f>IFERROR(IF(ISBLANK(INDEX([1]Nilai_Mutu_MK!$F$2:$F$58,MATCH($A29,[1]Nilai_Mutu_MK!$B$2:$B$58,0))),"",INDEX([1]Nilai_Mutu_MK!$F$2:$F$58,MATCH($A29,[1]Nilai_Mutu_MK!$B$2:$B$58,0))),"")</f>
        <v/>
      </c>
      <c r="F29" s="3" t="str">
        <f>IF(E29="","",E29*D29)</f>
        <v/>
      </c>
    </row>
    <row r="30" spans="1:6" ht="15" customHeight="1" x14ac:dyDescent="0.3">
      <c r="A30" s="3" t="s">
        <v>61</v>
      </c>
      <c r="B30" s="4" t="s">
        <v>62</v>
      </c>
      <c r="C30" s="3">
        <v>5</v>
      </c>
      <c r="D30" s="3">
        <v>2</v>
      </c>
      <c r="E30" s="3" t="str">
        <f>IFERROR(IF(ISBLANK(INDEX([1]Nilai_Mutu_MK!$F$2:$F$58,MATCH($A30,[1]Nilai_Mutu_MK!$B$2:$B$58,0))),"",INDEX([1]Nilai_Mutu_MK!$F$2:$F$58,MATCH($A30,[1]Nilai_Mutu_MK!$B$2:$B$58,0))),"")</f>
        <v/>
      </c>
      <c r="F30" s="3" t="str">
        <f>IF(E30="","",E30*D30)</f>
        <v/>
      </c>
    </row>
    <row r="31" spans="1:6" ht="15" customHeight="1" x14ac:dyDescent="0.3">
      <c r="A31" s="3" t="s">
        <v>63</v>
      </c>
      <c r="B31" s="4" t="s">
        <v>64</v>
      </c>
      <c r="C31" s="3">
        <v>5</v>
      </c>
      <c r="D31" s="3">
        <v>2</v>
      </c>
      <c r="E31" s="3" t="str">
        <f>IFERROR(IF(ISBLANK(INDEX([1]Nilai_Mutu_MK!$F$2:$F$58,MATCH($A31,[1]Nilai_Mutu_MK!$B$2:$B$58,0))),"",INDEX([1]Nilai_Mutu_MK!$F$2:$F$58,MATCH($A31,[1]Nilai_Mutu_MK!$B$2:$B$58,0))),"")</f>
        <v/>
      </c>
      <c r="F31" s="3" t="str">
        <f>IF(E31="","",E31*D31)</f>
        <v/>
      </c>
    </row>
    <row r="32" spans="1:6" ht="15" customHeight="1" x14ac:dyDescent="0.3">
      <c r="A32" s="3" t="s">
        <v>65</v>
      </c>
      <c r="B32" s="4" t="s">
        <v>66</v>
      </c>
      <c r="C32" s="3">
        <v>5</v>
      </c>
      <c r="D32" s="3">
        <v>2</v>
      </c>
      <c r="E32" s="3" t="str">
        <f>IFERROR(IF(ISBLANK(INDEX([1]Nilai_Mutu_MK!$F$2:$F$58,MATCH($A32,[1]Nilai_Mutu_MK!$B$2:$B$58,0))),"",INDEX([1]Nilai_Mutu_MK!$F$2:$F$58,MATCH($A32,[1]Nilai_Mutu_MK!$B$2:$B$58,0))),"")</f>
        <v/>
      </c>
      <c r="F32" s="3" t="str">
        <f>IF(E32="","",E32*D32)</f>
        <v/>
      </c>
    </row>
    <row r="33" spans="1:6" ht="15" customHeight="1" x14ac:dyDescent="0.3">
      <c r="A33" s="3" t="s">
        <v>67</v>
      </c>
      <c r="B33" s="4" t="s">
        <v>68</v>
      </c>
      <c r="C33" s="3">
        <v>6</v>
      </c>
      <c r="D33" s="3">
        <v>2</v>
      </c>
      <c r="E33" s="3" t="str">
        <f>IFERROR(IF(ISBLANK(INDEX([1]Nilai_Mutu_MK!$F$2:$F$58,MATCH($A33,[1]Nilai_Mutu_MK!$B$2:$B$58,0))),"",INDEX([1]Nilai_Mutu_MK!$F$2:$F$58,MATCH($A33,[1]Nilai_Mutu_MK!$B$2:$B$58,0))),"")</f>
        <v/>
      </c>
      <c r="F33" s="3" t="str">
        <f>IF(E33="","",E33*D33)</f>
        <v/>
      </c>
    </row>
    <row r="34" spans="1:6" ht="15" customHeight="1" x14ac:dyDescent="0.3">
      <c r="A34" s="3" t="s">
        <v>69</v>
      </c>
      <c r="B34" s="4" t="s">
        <v>70</v>
      </c>
      <c r="C34" s="3">
        <v>6</v>
      </c>
      <c r="D34" s="3">
        <v>2</v>
      </c>
      <c r="E34" s="3" t="str">
        <f>IFERROR(IF(ISBLANK(INDEX([1]Nilai_Mutu_MK!$F$2:$F$58,MATCH($A34,[1]Nilai_Mutu_MK!$B$2:$B$58,0))),"",INDEX([1]Nilai_Mutu_MK!$F$2:$F$58,MATCH($A34,[1]Nilai_Mutu_MK!$B$2:$B$58,0))),"")</f>
        <v/>
      </c>
      <c r="F34" s="3" t="str">
        <f>IF(E34="","",E34*D34)</f>
        <v/>
      </c>
    </row>
    <row r="35" spans="1:6" ht="15" customHeight="1" x14ac:dyDescent="0.3">
      <c r="A35" s="3" t="s">
        <v>71</v>
      </c>
      <c r="B35" s="4" t="s">
        <v>72</v>
      </c>
      <c r="C35" s="3">
        <v>6</v>
      </c>
      <c r="D35" s="3">
        <v>2</v>
      </c>
      <c r="E35" s="3" t="str">
        <f>IFERROR(IF(ISBLANK(INDEX([1]Nilai_Mutu_MK!$F$2:$F$58,MATCH($A35,[1]Nilai_Mutu_MK!$B$2:$B$58,0))),"",INDEX([1]Nilai_Mutu_MK!$F$2:$F$58,MATCH($A35,[1]Nilai_Mutu_MK!$B$2:$B$58,0))),"")</f>
        <v/>
      </c>
      <c r="F35" s="3" t="str">
        <f>IF(E35="","",E35*D35)</f>
        <v/>
      </c>
    </row>
    <row r="36" spans="1:6" ht="15" customHeight="1" x14ac:dyDescent="0.3">
      <c r="A36" s="3" t="s">
        <v>73</v>
      </c>
      <c r="B36" s="4" t="s">
        <v>74</v>
      </c>
      <c r="C36" s="3">
        <v>6</v>
      </c>
      <c r="D36" s="3">
        <v>2</v>
      </c>
      <c r="E36" s="3" t="str">
        <f>IFERROR(IF(ISBLANK(INDEX([1]Nilai_Mutu_MK!$F$2:$F$58,MATCH($A36,[1]Nilai_Mutu_MK!$B$2:$B$58,0))),"",INDEX([1]Nilai_Mutu_MK!$F$2:$F$58,MATCH($A36,[1]Nilai_Mutu_MK!$B$2:$B$58,0))),"")</f>
        <v/>
      </c>
      <c r="F36" s="3" t="str">
        <f>IF(E36="","",E36*D36)</f>
        <v/>
      </c>
    </row>
    <row r="37" spans="1:6" ht="15" customHeight="1" x14ac:dyDescent="0.3">
      <c r="A37" s="3" t="s">
        <v>75</v>
      </c>
      <c r="B37" s="4" t="s">
        <v>76</v>
      </c>
      <c r="C37" s="3">
        <v>6</v>
      </c>
      <c r="D37" s="3">
        <v>2</v>
      </c>
      <c r="E37" s="3" t="str">
        <f>IFERROR(IF(ISBLANK(INDEX([1]Nilai_Mutu_MK!$F$2:$F$58,MATCH($A37,[1]Nilai_Mutu_MK!$B$2:$B$58,0))),"",INDEX([1]Nilai_Mutu_MK!$F$2:$F$58,MATCH($A37,[1]Nilai_Mutu_MK!$B$2:$B$58,0))),"")</f>
        <v/>
      </c>
      <c r="F37" s="3" t="str">
        <f>IF(E37="","",E37*D37)</f>
        <v/>
      </c>
    </row>
    <row r="38" spans="1:6" ht="15" customHeight="1" x14ac:dyDescent="0.3">
      <c r="A38" s="3" t="s">
        <v>77</v>
      </c>
      <c r="B38" s="4" t="s">
        <v>78</v>
      </c>
      <c r="C38" s="3">
        <v>7</v>
      </c>
      <c r="D38" s="3">
        <v>2</v>
      </c>
      <c r="E38" s="3" t="str">
        <f>IFERROR(IF(ISBLANK(INDEX([1]Nilai_Mutu_MK!$F$2:$F$58,MATCH($A38,[1]Nilai_Mutu_MK!$B$2:$B$58,0))),"",INDEX([1]Nilai_Mutu_MK!$F$2:$F$58,MATCH($A38,[1]Nilai_Mutu_MK!$B$2:$B$58,0))),"")</f>
        <v/>
      </c>
      <c r="F38" s="3" t="str">
        <f>IF(E38="","",E38*D38)</f>
        <v/>
      </c>
    </row>
    <row r="39" spans="1:6" ht="15" customHeight="1" x14ac:dyDescent="0.3">
      <c r="A39" s="3" t="s">
        <v>79</v>
      </c>
      <c r="B39" s="4" t="s">
        <v>80</v>
      </c>
      <c r="C39" s="3">
        <v>7</v>
      </c>
      <c r="D39" s="3">
        <v>2</v>
      </c>
      <c r="E39" s="3" t="str">
        <f>IFERROR(IF(ISBLANK(INDEX([1]Nilai_Mutu_MK!$F$2:$F$58,MATCH($A39,[1]Nilai_Mutu_MK!$B$2:$B$58,0))),"",INDEX([1]Nilai_Mutu_MK!$F$2:$F$58,MATCH($A39,[1]Nilai_Mutu_MK!$B$2:$B$58,0))),"")</f>
        <v/>
      </c>
      <c r="F39" s="3" t="str">
        <f>IF(E39="","",E39*D39)</f>
        <v/>
      </c>
    </row>
    <row r="40" spans="1:6" ht="15" customHeight="1" x14ac:dyDescent="0.3">
      <c r="A40" s="3" t="s">
        <v>81</v>
      </c>
      <c r="B40" s="4" t="s">
        <v>82</v>
      </c>
      <c r="C40" s="3">
        <v>7</v>
      </c>
      <c r="D40" s="3">
        <v>4</v>
      </c>
      <c r="E40" s="3" t="str">
        <f>IFERROR(IF(ISBLANK(INDEX([1]Nilai_Mutu_MK!$F$2:$F$58,MATCH($A40,[1]Nilai_Mutu_MK!$B$2:$B$58,0))),"",INDEX([1]Nilai_Mutu_MK!$F$2:$F$58,MATCH($A40,[1]Nilai_Mutu_MK!$B$2:$B$58,0))),"")</f>
        <v/>
      </c>
      <c r="F40" s="3" t="str">
        <f>IF(E40="","",E40*D40)</f>
        <v/>
      </c>
    </row>
    <row r="41" spans="1:6" ht="15" customHeight="1" x14ac:dyDescent="0.3">
      <c r="A41" s="3" t="s">
        <v>83</v>
      </c>
      <c r="B41" s="4" t="s">
        <v>84</v>
      </c>
      <c r="C41" s="3">
        <v>7</v>
      </c>
      <c r="D41" s="3">
        <v>2</v>
      </c>
      <c r="E41" s="3" t="str">
        <f>IFERROR(IF(ISBLANK(INDEX([1]Nilai_Mutu_MK!$F$2:$F$58,MATCH($A41,[1]Nilai_Mutu_MK!$B$2:$B$58,0))),"",INDEX([1]Nilai_Mutu_MK!$F$2:$F$58,MATCH($A41,[1]Nilai_Mutu_MK!$B$2:$B$58,0))),"")</f>
        <v/>
      </c>
      <c r="F41" s="3" t="str">
        <f>IF(E41="","",E41*D41)</f>
        <v/>
      </c>
    </row>
    <row r="42" spans="1:6" ht="15" customHeight="1" x14ac:dyDescent="0.3">
      <c r="A42" s="3" t="s">
        <v>85</v>
      </c>
      <c r="B42" s="4" t="s">
        <v>86</v>
      </c>
      <c r="C42" s="3">
        <v>7</v>
      </c>
      <c r="D42" s="3">
        <v>2</v>
      </c>
      <c r="E42" s="3" t="str">
        <f>IFERROR(IF(ISBLANK(INDEX([1]Nilai_Mutu_MK!$F$2:$F$58,MATCH($A42,[1]Nilai_Mutu_MK!$B$2:$B$58,0))),"",INDEX([1]Nilai_Mutu_MK!$F$2:$F$58,MATCH($A42,[1]Nilai_Mutu_MK!$B$2:$B$58,0))),"")</f>
        <v/>
      </c>
      <c r="F42" s="3" t="str">
        <f>IF(E42="","",E42*D42)</f>
        <v/>
      </c>
    </row>
    <row r="43" spans="1:6" ht="15" customHeight="1" x14ac:dyDescent="0.3">
      <c r="A43" s="3" t="s">
        <v>87</v>
      </c>
      <c r="B43" s="4" t="s">
        <v>88</v>
      </c>
      <c r="C43" s="3">
        <v>7</v>
      </c>
      <c r="D43" s="3">
        <v>2</v>
      </c>
      <c r="E43" s="3" t="str">
        <f>IFERROR(IF(ISBLANK(INDEX([1]Nilai_Mutu_MK!$F$2:$F$58,MATCH($A43,[1]Nilai_Mutu_MK!$B$2:$B$58,0))),"",INDEX([1]Nilai_Mutu_MK!$F$2:$F$58,MATCH($A43,[1]Nilai_Mutu_MK!$B$2:$B$58,0))),"")</f>
        <v/>
      </c>
      <c r="F43" s="3" t="str">
        <f>IF(E43="","",E43*D43)</f>
        <v/>
      </c>
    </row>
    <row r="44" spans="1:6" ht="15" customHeight="1" x14ac:dyDescent="0.3">
      <c r="A44" s="3" t="s">
        <v>89</v>
      </c>
      <c r="B44" s="4" t="s">
        <v>90</v>
      </c>
      <c r="C44" s="3">
        <v>8</v>
      </c>
      <c r="D44" s="3">
        <v>6</v>
      </c>
      <c r="E44" s="3" t="str">
        <f>IFERROR(IF(ISBLANK(INDEX([1]Nilai_Mutu_MK!$F$2:$F$58,MATCH($A44,[1]Nilai_Mutu_MK!$B$2:$B$58,0))),"",INDEX([1]Nilai_Mutu_MK!$F$2:$F$58,MATCH($A44,[1]Nilai_Mutu_MK!$B$2:$B$58,0))),"")</f>
        <v/>
      </c>
      <c r="F44" s="3" t="str">
        <f>IF(E44="","",E44*D44)</f>
        <v/>
      </c>
    </row>
    <row r="45" spans="1:6" x14ac:dyDescent="0.3">
      <c r="A45" s="3" t="s">
        <v>91</v>
      </c>
      <c r="B45" s="4" t="s">
        <v>92</v>
      </c>
      <c r="C45" s="3">
        <v>3</v>
      </c>
      <c r="D45" s="3">
        <v>2</v>
      </c>
      <c r="E45" s="3" t="str">
        <f>IFERROR(IF(ISBLANK(INDEX([1]Nilai_Mutu_MK!$F$2:$F$58,MATCH($A45,[1]Nilai_Mutu_MK!$B$2:$B$58,0))),"",INDEX([1]Nilai_Mutu_MK!$F$2:$F$58,MATCH($A45,[1]Nilai_Mutu_MK!$B$2:$B$58,0))),"")</f>
        <v/>
      </c>
      <c r="F45" s="3" t="str">
        <f>IF(E45="","",E45*D45)</f>
        <v/>
      </c>
    </row>
    <row r="46" spans="1:6" x14ac:dyDescent="0.3">
      <c r="C46" s="5" t="s">
        <v>93</v>
      </c>
      <c r="D46" s="6">
        <f>SUM(D3:D44)</f>
        <v>114</v>
      </c>
    </row>
    <row r="47" spans="1:6" ht="20.399999999999999" customHeight="1" x14ac:dyDescent="0.3">
      <c r="C47" s="5" t="s">
        <v>94</v>
      </c>
      <c r="D47" s="7" t="str">
        <f>IFERROR(SUM(F3:F44)/SUMPRODUCT(ISNUMBER(E3:E44)*D3:D44),"belum ada nilai diisi")</f>
        <v>belum ada nilai diisi</v>
      </c>
    </row>
    <row r="48" spans="1:6" ht="19.5" customHeight="1" x14ac:dyDescent="0.3">
      <c r="A48" s="1" t="s">
        <v>95</v>
      </c>
      <c r="B48" s="1"/>
      <c r="C48" s="1"/>
      <c r="D48" s="1"/>
      <c r="E48" s="1"/>
      <c r="F48" s="1"/>
    </row>
    <row r="49" spans="1:6" ht="24" x14ac:dyDescent="0.3">
      <c r="A49" s="2" t="s">
        <v>1</v>
      </c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</row>
    <row r="50" spans="1:6" ht="15" customHeight="1" x14ac:dyDescent="0.3">
      <c r="A50" s="3" t="s">
        <v>25</v>
      </c>
      <c r="B50" s="4" t="s">
        <v>26</v>
      </c>
      <c r="C50" s="3">
        <v>3</v>
      </c>
      <c r="D50" s="3">
        <v>2</v>
      </c>
      <c r="E50" s="3" t="str">
        <f>IFERROR(IF(ISBLANK(INDEX([1]Nilai_Mutu_MK!$F$2:$F$58,MATCH($A50,[1]Nilai_Mutu_MK!$B$2:$B$58,0))),"",INDEX([1]Nilai_Mutu_MK!$F$2:$F$58,MATCH($A50,[1]Nilai_Mutu_MK!$B$2:$B$58,0))),"")</f>
        <v/>
      </c>
      <c r="F50" s="3" t="str">
        <f t="shared" ref="F50:F51" si="0">IF(E50="","",E50*D50)</f>
        <v/>
      </c>
    </row>
    <row r="51" spans="1:6" ht="15" customHeight="1" x14ac:dyDescent="0.3">
      <c r="A51" s="3" t="s">
        <v>27</v>
      </c>
      <c r="B51" s="4" t="s">
        <v>28</v>
      </c>
      <c r="C51" s="3">
        <v>3</v>
      </c>
      <c r="D51" s="3">
        <v>3</v>
      </c>
      <c r="E51" s="3" t="str">
        <f>IFERROR(IF(ISBLANK(INDEX([1]Nilai_Mutu_MK!$F$2:$F$58,MATCH($A51,[1]Nilai_Mutu_MK!$B$2:$B$58,0))),"",INDEX([1]Nilai_Mutu_MK!$F$2:$F$58,MATCH($A51,[1]Nilai_Mutu_MK!$B$2:$B$58,0))),"")</f>
        <v/>
      </c>
      <c r="F51" s="3" t="str">
        <f t="shared" si="0"/>
        <v/>
      </c>
    </row>
    <row r="52" spans="1:6" ht="15" customHeight="1" x14ac:dyDescent="0.3">
      <c r="A52" s="3" t="s">
        <v>33</v>
      </c>
      <c r="B52" s="4" t="s">
        <v>34</v>
      </c>
      <c r="C52" s="3">
        <v>3</v>
      </c>
      <c r="D52" s="3">
        <v>2</v>
      </c>
      <c r="E52" s="3" t="str">
        <f>IFERROR(IF(ISBLANK(INDEX([1]Nilai_Mutu_MK!$F$2:$F$58,MATCH($A52,[1]Nilai_Mutu_MK!$B$2:$B$58,0))),"",INDEX([1]Nilai_Mutu_MK!$F$2:$F$58,MATCH($A52,[1]Nilai_Mutu_MK!$B$2:$B$58,0))),"")</f>
        <v/>
      </c>
      <c r="F52" s="3" t="str">
        <f>IF(E52="","",E52*D52)</f>
        <v/>
      </c>
    </row>
    <row r="53" spans="1:6" ht="15" customHeight="1" x14ac:dyDescent="0.3">
      <c r="A53" s="3" t="s">
        <v>96</v>
      </c>
      <c r="B53" s="4" t="s">
        <v>97</v>
      </c>
      <c r="C53" s="3">
        <v>3</v>
      </c>
      <c r="D53" s="3">
        <v>2</v>
      </c>
      <c r="E53" s="3" t="str">
        <f>IFERROR(IF(ISBLANK(INDEX([1]Nilai_Mutu_MK!$F$2:$F$58,MATCH($A53,[1]Nilai_Mutu_MK!$B$2:$B$58,0))),"",INDEX([1]Nilai_Mutu_MK!$F$2:$F$58,MATCH($A53,[1]Nilai_Mutu_MK!$B$2:$B$58,0))),"")</f>
        <v/>
      </c>
      <c r="F53" s="3" t="str">
        <f>IF(E53="","",E53*D53)</f>
        <v/>
      </c>
    </row>
    <row r="54" spans="1:6" ht="15" customHeight="1" x14ac:dyDescent="0.3">
      <c r="A54" s="3" t="s">
        <v>39</v>
      </c>
      <c r="B54" s="4" t="s">
        <v>40</v>
      </c>
      <c r="C54" s="3">
        <v>4</v>
      </c>
      <c r="D54" s="3">
        <v>3</v>
      </c>
      <c r="E54" s="3" t="str">
        <f>IFERROR(IF(ISBLANK(INDEX([1]Nilai_Mutu_MK!$F$2:$F$58,MATCH($A54,[1]Nilai_Mutu_MK!$B$2:$B$58,0))),"",INDEX([1]Nilai_Mutu_MK!$F$2:$F$58,MATCH($A54,[1]Nilai_Mutu_MK!$B$2:$B$58,0))),"")</f>
        <v/>
      </c>
      <c r="F54" s="3" t="str">
        <f>IF(E54="","",E54*D54)</f>
        <v/>
      </c>
    </row>
    <row r="55" spans="1:6" ht="15" customHeight="1" x14ac:dyDescent="0.3">
      <c r="A55" s="3" t="s">
        <v>41</v>
      </c>
      <c r="B55" s="4" t="s">
        <v>42</v>
      </c>
      <c r="C55" s="3">
        <v>4</v>
      </c>
      <c r="D55" s="3">
        <v>2</v>
      </c>
      <c r="E55" s="3" t="str">
        <f>IFERROR(IF(ISBLANK(INDEX([1]Nilai_Mutu_MK!$F$2:$F$58,MATCH($A55,[1]Nilai_Mutu_MK!$B$2:$B$58,0))),"",INDEX([1]Nilai_Mutu_MK!$F$2:$F$58,MATCH($A55,[1]Nilai_Mutu_MK!$B$2:$B$58,0))),"")</f>
        <v/>
      </c>
      <c r="F55" s="3" t="str">
        <f>IF(E55="","",E55*D55)</f>
        <v/>
      </c>
    </row>
    <row r="56" spans="1:6" ht="15" customHeight="1" x14ac:dyDescent="0.3">
      <c r="A56" s="3" t="s">
        <v>43</v>
      </c>
      <c r="B56" s="4" t="s">
        <v>44</v>
      </c>
      <c r="C56" s="3">
        <v>4</v>
      </c>
      <c r="D56" s="3">
        <v>3</v>
      </c>
      <c r="E56" s="3" t="str">
        <f>IFERROR(IF(ISBLANK(INDEX([1]Nilai_Mutu_MK!$F$2:$F$58,MATCH($A56,[1]Nilai_Mutu_MK!$B$2:$B$58,0))),"",INDEX([1]Nilai_Mutu_MK!$F$2:$F$58,MATCH($A56,[1]Nilai_Mutu_MK!$B$2:$B$58,0))),"")</f>
        <v/>
      </c>
      <c r="F56" s="3" t="str">
        <f>IF(E56="","",E56*D56)</f>
        <v/>
      </c>
    </row>
    <row r="57" spans="1:6" ht="15" customHeight="1" x14ac:dyDescent="0.3">
      <c r="A57" s="3" t="s">
        <v>45</v>
      </c>
      <c r="B57" s="4" t="s">
        <v>46</v>
      </c>
      <c r="C57" s="3">
        <v>4</v>
      </c>
      <c r="D57" s="3">
        <v>2</v>
      </c>
      <c r="E57" s="3" t="str">
        <f>IFERROR(IF(ISBLANK(INDEX([1]Nilai_Mutu_MK!$F$2:$F$58,MATCH($A57,[1]Nilai_Mutu_MK!$B$2:$B$58,0))),"",INDEX([1]Nilai_Mutu_MK!$F$2:$F$58,MATCH($A57,[1]Nilai_Mutu_MK!$B$2:$B$58,0))),"")</f>
        <v/>
      </c>
      <c r="F57" s="3" t="str">
        <f>IF(E57="","",E57*D57)</f>
        <v/>
      </c>
    </row>
    <row r="58" spans="1:6" ht="15" customHeight="1" x14ac:dyDescent="0.3">
      <c r="A58" s="3" t="s">
        <v>98</v>
      </c>
      <c r="B58" s="4" t="s">
        <v>99</v>
      </c>
      <c r="C58" s="3">
        <v>4</v>
      </c>
      <c r="D58" s="3">
        <v>2</v>
      </c>
      <c r="E58" s="3" t="str">
        <f>IFERROR(IF(ISBLANK(INDEX([1]Nilai_Mutu_MK!$F$2:$F$58,MATCH($A58,[1]Nilai_Mutu_MK!$B$2:$B$58,0))),"",INDEX([1]Nilai_Mutu_MK!$F$2:$F$58,MATCH($A58,[1]Nilai_Mutu_MK!$B$2:$B$58,0))),"")</f>
        <v/>
      </c>
      <c r="F58" s="3" t="str">
        <f>IF(E58="","",E58*D58)</f>
        <v/>
      </c>
    </row>
    <row r="59" spans="1:6" ht="15" customHeight="1" x14ac:dyDescent="0.3">
      <c r="A59" s="3" t="s">
        <v>49</v>
      </c>
      <c r="B59" s="4" t="s">
        <v>50</v>
      </c>
      <c r="C59" s="3">
        <v>4</v>
      </c>
      <c r="D59" s="3">
        <v>3</v>
      </c>
      <c r="E59" s="3" t="str">
        <f>IFERROR(IF(ISBLANK(INDEX([1]Nilai_Mutu_MK!$F$2:$F$58,MATCH($A59,[1]Nilai_Mutu_MK!$B$2:$B$58,0))),"",INDEX([1]Nilai_Mutu_MK!$F$2:$F$58,MATCH($A59,[1]Nilai_Mutu_MK!$B$2:$B$58,0))),"")</f>
        <v/>
      </c>
      <c r="F59" s="3" t="str">
        <f>IF(E59="","",E59*D59)</f>
        <v/>
      </c>
    </row>
    <row r="60" spans="1:6" ht="15" customHeight="1" x14ac:dyDescent="0.3">
      <c r="A60" s="3" t="s">
        <v>51</v>
      </c>
      <c r="B60" s="4" t="s">
        <v>52</v>
      </c>
      <c r="C60" s="3">
        <v>4</v>
      </c>
      <c r="D60" s="3">
        <v>3</v>
      </c>
      <c r="E60" s="3" t="str">
        <f>IFERROR(IF(ISBLANK(INDEX([1]Nilai_Mutu_MK!$F$2:$F$58,MATCH($A60,[1]Nilai_Mutu_MK!$B$2:$B$58,0))),"",INDEX([1]Nilai_Mutu_MK!$F$2:$F$58,MATCH($A60,[1]Nilai_Mutu_MK!$B$2:$B$58,0))),"")</f>
        <v/>
      </c>
      <c r="F60" s="3" t="str">
        <f>IF(E60="","",E60*D60)</f>
        <v/>
      </c>
    </row>
    <row r="61" spans="1:6" ht="15" customHeight="1" x14ac:dyDescent="0.3">
      <c r="A61" s="3" t="s">
        <v>53</v>
      </c>
      <c r="B61" s="4" t="s">
        <v>54</v>
      </c>
      <c r="C61" s="3">
        <v>5</v>
      </c>
      <c r="D61" s="3">
        <v>2</v>
      </c>
      <c r="E61" s="3" t="str">
        <f>IFERROR(IF(ISBLANK(INDEX([1]Nilai_Mutu_MK!$F$2:$F$58,MATCH($A61,[1]Nilai_Mutu_MK!$B$2:$B$58,0))),"",INDEX([1]Nilai_Mutu_MK!$F$2:$F$58,MATCH($A61,[1]Nilai_Mutu_MK!$B$2:$B$58,0))),"")</f>
        <v/>
      </c>
      <c r="F61" s="3" t="str">
        <f>IF(E61="","",E61*D61)</f>
        <v/>
      </c>
    </row>
    <row r="62" spans="1:6" ht="15" customHeight="1" x14ac:dyDescent="0.3">
      <c r="A62" s="3" t="s">
        <v>55</v>
      </c>
      <c r="B62" s="4" t="s">
        <v>56</v>
      </c>
      <c r="C62" s="3">
        <v>5</v>
      </c>
      <c r="D62" s="3">
        <v>3</v>
      </c>
      <c r="E62" s="3" t="str">
        <f>IFERROR(IF(ISBLANK(INDEX([1]Nilai_Mutu_MK!$F$2:$F$58,MATCH($A62,[1]Nilai_Mutu_MK!$B$2:$B$58,0))),"",INDEX([1]Nilai_Mutu_MK!$F$2:$F$58,MATCH($A62,[1]Nilai_Mutu_MK!$B$2:$B$58,0))),"")</f>
        <v/>
      </c>
      <c r="F62" s="3" t="str">
        <f>IF(E62="","",E62*D62)</f>
        <v/>
      </c>
    </row>
    <row r="63" spans="1:6" ht="15" customHeight="1" x14ac:dyDescent="0.3">
      <c r="A63" s="3" t="s">
        <v>100</v>
      </c>
      <c r="B63" s="4" t="s">
        <v>101</v>
      </c>
      <c r="C63" s="3">
        <v>5</v>
      </c>
      <c r="D63" s="3">
        <v>2</v>
      </c>
      <c r="E63" s="3" t="str">
        <f>IFERROR(IF(ISBLANK(INDEX([1]Nilai_Mutu_MK!$F$2:$F$58,MATCH($A63,[1]Nilai_Mutu_MK!$B$2:$B$58,0))),"",INDEX([1]Nilai_Mutu_MK!$F$2:$F$58,MATCH($A63,[1]Nilai_Mutu_MK!$B$2:$B$58,0))),"")</f>
        <v/>
      </c>
      <c r="F63" s="3" t="str">
        <f>IF(E63="","",E63*D63)</f>
        <v/>
      </c>
    </row>
    <row r="64" spans="1:6" ht="15" customHeight="1" x14ac:dyDescent="0.3">
      <c r="A64" s="3" t="s">
        <v>57</v>
      </c>
      <c r="B64" s="4" t="s">
        <v>58</v>
      </c>
      <c r="C64" s="3">
        <v>5</v>
      </c>
      <c r="D64" s="3">
        <v>3</v>
      </c>
      <c r="E64" s="3" t="str">
        <f>IFERROR(IF(ISBLANK(INDEX([1]Nilai_Mutu_MK!$F$2:$F$58,MATCH($A64,[1]Nilai_Mutu_MK!$B$2:$B$58,0))),"",INDEX([1]Nilai_Mutu_MK!$F$2:$F$58,MATCH($A64,[1]Nilai_Mutu_MK!$B$2:$B$58,0))),"")</f>
        <v/>
      </c>
      <c r="F64" s="3" t="str">
        <f>IF(E64="","",E64*D64)</f>
        <v/>
      </c>
    </row>
    <row r="65" spans="1:6" ht="15" customHeight="1" x14ac:dyDescent="0.3">
      <c r="A65" s="3" t="s">
        <v>59</v>
      </c>
      <c r="B65" s="4" t="s">
        <v>60</v>
      </c>
      <c r="C65" s="3">
        <v>5</v>
      </c>
      <c r="D65" s="3">
        <v>2</v>
      </c>
      <c r="E65" s="3" t="str">
        <f>IFERROR(IF(ISBLANK(INDEX([1]Nilai_Mutu_MK!$F$2:$F$58,MATCH($A65,[1]Nilai_Mutu_MK!$B$2:$B$58,0))),"",INDEX([1]Nilai_Mutu_MK!$F$2:$F$58,MATCH($A65,[1]Nilai_Mutu_MK!$B$2:$B$58,0))),"")</f>
        <v/>
      </c>
      <c r="F65" s="3" t="str">
        <f>IF(E65="","",E65*D65)</f>
        <v/>
      </c>
    </row>
    <row r="66" spans="1:6" ht="15" customHeight="1" x14ac:dyDescent="0.3">
      <c r="A66" s="3" t="s">
        <v>61</v>
      </c>
      <c r="B66" s="4" t="s">
        <v>62</v>
      </c>
      <c r="C66" s="3">
        <v>5</v>
      </c>
      <c r="D66" s="3">
        <v>2</v>
      </c>
      <c r="E66" s="3" t="str">
        <f>IFERROR(IF(ISBLANK(INDEX([1]Nilai_Mutu_MK!$F$2:$F$58,MATCH($A66,[1]Nilai_Mutu_MK!$B$2:$B$58,0))),"",INDEX([1]Nilai_Mutu_MK!$F$2:$F$58,MATCH($A66,[1]Nilai_Mutu_MK!$B$2:$B$58,0))),"")</f>
        <v/>
      </c>
      <c r="F66" s="3" t="str">
        <f>IF(E66="","",E66*D66)</f>
        <v/>
      </c>
    </row>
    <row r="67" spans="1:6" ht="15" customHeight="1" x14ac:dyDescent="0.3">
      <c r="A67" s="3" t="s">
        <v>63</v>
      </c>
      <c r="B67" s="4" t="s">
        <v>64</v>
      </c>
      <c r="C67" s="3">
        <v>5</v>
      </c>
      <c r="D67" s="3">
        <v>2</v>
      </c>
      <c r="E67" s="3" t="str">
        <f>IFERROR(IF(ISBLANK(INDEX([1]Nilai_Mutu_MK!$F$2:$F$58,MATCH($A67,[1]Nilai_Mutu_MK!$B$2:$B$58,0))),"",INDEX([1]Nilai_Mutu_MK!$F$2:$F$58,MATCH($A67,[1]Nilai_Mutu_MK!$B$2:$B$58,0))),"")</f>
        <v/>
      </c>
      <c r="F67" s="3" t="str">
        <f>IF(E67="","",E67*D67)</f>
        <v/>
      </c>
    </row>
    <row r="68" spans="1:6" ht="15" customHeight="1" x14ac:dyDescent="0.3">
      <c r="A68" s="3" t="s">
        <v>65</v>
      </c>
      <c r="B68" s="4" t="s">
        <v>66</v>
      </c>
      <c r="C68" s="3">
        <v>5</v>
      </c>
      <c r="D68" s="3">
        <v>2</v>
      </c>
      <c r="E68" s="3" t="str">
        <f>IFERROR(IF(ISBLANK(INDEX([1]Nilai_Mutu_MK!$F$2:$F$58,MATCH($A68,[1]Nilai_Mutu_MK!$B$2:$B$58,0))),"",INDEX([1]Nilai_Mutu_MK!$F$2:$F$58,MATCH($A68,[1]Nilai_Mutu_MK!$B$2:$B$58,0))),"")</f>
        <v/>
      </c>
      <c r="F68" s="3" t="str">
        <f>IF(E68="","",E68*D68)</f>
        <v/>
      </c>
    </row>
    <row r="69" spans="1:6" ht="15" customHeight="1" x14ac:dyDescent="0.3">
      <c r="A69" s="3" t="s">
        <v>102</v>
      </c>
      <c r="B69" s="4" t="s">
        <v>103</v>
      </c>
      <c r="C69" s="3">
        <v>6</v>
      </c>
      <c r="D69" s="3">
        <v>2</v>
      </c>
      <c r="E69" s="3" t="str">
        <f>IFERROR(IF(ISBLANK(INDEX([1]Nilai_Mutu_MK!$F$2:$F$58,MATCH($A69,[1]Nilai_Mutu_MK!$B$2:$B$58,0))),"",INDEX([1]Nilai_Mutu_MK!$F$2:$F$58,MATCH($A69,[1]Nilai_Mutu_MK!$B$2:$B$58,0))),"")</f>
        <v/>
      </c>
      <c r="F69" s="3" t="str">
        <f>IF(E69="","",E69*D69)</f>
        <v/>
      </c>
    </row>
    <row r="70" spans="1:6" ht="15" customHeight="1" x14ac:dyDescent="0.3">
      <c r="A70" s="3" t="s">
        <v>104</v>
      </c>
      <c r="B70" s="4" t="s">
        <v>105</v>
      </c>
      <c r="C70" s="3">
        <v>6</v>
      </c>
      <c r="D70" s="3">
        <v>2</v>
      </c>
      <c r="E70" s="3" t="str">
        <f>IFERROR(IF(ISBLANK(INDEX([1]Nilai_Mutu_MK!$F$2:$F$58,MATCH($A70,[1]Nilai_Mutu_MK!$B$2:$B$58,0))),"",INDEX([1]Nilai_Mutu_MK!$F$2:$F$58,MATCH($A70,[1]Nilai_Mutu_MK!$B$2:$B$58,0))),"")</f>
        <v/>
      </c>
      <c r="F70" s="3" t="str">
        <f>IF(E70="","",E70*D70)</f>
        <v/>
      </c>
    </row>
    <row r="71" spans="1:6" ht="15" customHeight="1" x14ac:dyDescent="0.3">
      <c r="A71" s="3" t="s">
        <v>106</v>
      </c>
      <c r="B71" s="4" t="s">
        <v>107</v>
      </c>
      <c r="C71" s="3">
        <v>6</v>
      </c>
      <c r="D71" s="3">
        <v>2</v>
      </c>
      <c r="E71" s="3" t="str">
        <f>IFERROR(IF(ISBLANK(INDEX([1]Nilai_Mutu_MK!$F$2:$F$58,MATCH($A71,[1]Nilai_Mutu_MK!$B$2:$B$58,0))),"",INDEX([1]Nilai_Mutu_MK!$F$2:$F$58,MATCH($A71,[1]Nilai_Mutu_MK!$B$2:$B$58,0))),"")</f>
        <v/>
      </c>
      <c r="F71" s="3" t="str">
        <f>IF(E71="","",E71*D71)</f>
        <v/>
      </c>
    </row>
    <row r="72" spans="1:6" ht="15" customHeight="1" x14ac:dyDescent="0.3">
      <c r="A72" s="3" t="s">
        <v>108</v>
      </c>
      <c r="B72" s="4" t="s">
        <v>109</v>
      </c>
      <c r="C72" s="3">
        <v>6</v>
      </c>
      <c r="D72" s="3">
        <v>2</v>
      </c>
      <c r="E72" s="3" t="str">
        <f>IFERROR(IF(ISBLANK(INDEX([1]Nilai_Mutu_MK!$F$2:$F$58,MATCH($A72,[1]Nilai_Mutu_MK!$B$2:$B$58,0))),"",INDEX([1]Nilai_Mutu_MK!$F$2:$F$58,MATCH($A72,[1]Nilai_Mutu_MK!$B$2:$B$58,0))),"")</f>
        <v/>
      </c>
      <c r="F72" s="3" t="str">
        <f>IF(E72="","",E72*D72)</f>
        <v/>
      </c>
    </row>
    <row r="73" spans="1:6" ht="15" customHeight="1" x14ac:dyDescent="0.3">
      <c r="A73" s="3" t="s">
        <v>67</v>
      </c>
      <c r="B73" s="4" t="s">
        <v>68</v>
      </c>
      <c r="C73" s="3">
        <v>6</v>
      </c>
      <c r="D73" s="3">
        <v>2</v>
      </c>
      <c r="E73" s="3" t="str">
        <f>IFERROR(IF(ISBLANK(INDEX([1]Nilai_Mutu_MK!$F$2:$F$58,MATCH($A73,[1]Nilai_Mutu_MK!$B$2:$B$58,0))),"",INDEX([1]Nilai_Mutu_MK!$F$2:$F$58,MATCH($A73,[1]Nilai_Mutu_MK!$B$2:$B$58,0))),"")</f>
        <v/>
      </c>
      <c r="F73" s="3" t="str">
        <f>IF(E73="","",E73*D73)</f>
        <v/>
      </c>
    </row>
    <row r="74" spans="1:6" ht="15" customHeight="1" x14ac:dyDescent="0.3">
      <c r="A74" s="3" t="s">
        <v>69</v>
      </c>
      <c r="B74" s="4" t="s">
        <v>70</v>
      </c>
      <c r="C74" s="3">
        <v>6</v>
      </c>
      <c r="D74" s="3">
        <v>2</v>
      </c>
      <c r="E74" s="3" t="str">
        <f>IFERROR(IF(ISBLANK(INDEX([1]Nilai_Mutu_MK!$F$2:$F$58,MATCH($A74,[1]Nilai_Mutu_MK!$B$2:$B$58,0))),"",INDEX([1]Nilai_Mutu_MK!$F$2:$F$58,MATCH($A74,[1]Nilai_Mutu_MK!$B$2:$B$58,0))),"")</f>
        <v/>
      </c>
      <c r="F74" s="3" t="str">
        <f>IF(E74="","",E74*D74)</f>
        <v/>
      </c>
    </row>
    <row r="75" spans="1:6" ht="15" customHeight="1" x14ac:dyDescent="0.3">
      <c r="A75" s="3" t="s">
        <v>73</v>
      </c>
      <c r="B75" s="4" t="s">
        <v>74</v>
      </c>
      <c r="C75" s="3">
        <v>6</v>
      </c>
      <c r="D75" s="3">
        <v>2</v>
      </c>
      <c r="E75" s="3" t="str">
        <f>IFERROR(IF(ISBLANK(INDEX([1]Nilai_Mutu_MK!$F$2:$F$58,MATCH($A75,[1]Nilai_Mutu_MK!$B$2:$B$58,0))),"",INDEX([1]Nilai_Mutu_MK!$F$2:$F$58,MATCH($A75,[1]Nilai_Mutu_MK!$B$2:$B$58,0))),"")</f>
        <v/>
      </c>
      <c r="F75" s="3" t="str">
        <f>IF(E75="","",E75*D75)</f>
        <v/>
      </c>
    </row>
    <row r="76" spans="1:6" ht="15" customHeight="1" x14ac:dyDescent="0.3">
      <c r="A76" s="3" t="s">
        <v>75</v>
      </c>
      <c r="B76" s="4" t="s">
        <v>76</v>
      </c>
      <c r="C76" s="3">
        <v>6</v>
      </c>
      <c r="D76" s="3">
        <v>2</v>
      </c>
      <c r="E76" s="3" t="str">
        <f>IFERROR(IF(ISBLANK(INDEX([1]Nilai_Mutu_MK!$F$2:$F$58,MATCH($A76,[1]Nilai_Mutu_MK!$B$2:$B$58,0))),"",INDEX([1]Nilai_Mutu_MK!$F$2:$F$58,MATCH($A76,[1]Nilai_Mutu_MK!$B$2:$B$58,0))),"")</f>
        <v/>
      </c>
      <c r="F76" s="3" t="str">
        <f>IF(E76="","",E76*D76)</f>
        <v/>
      </c>
    </row>
    <row r="77" spans="1:6" ht="15" customHeight="1" x14ac:dyDescent="0.3">
      <c r="A77" s="3" t="s">
        <v>77</v>
      </c>
      <c r="B77" s="4" t="s">
        <v>78</v>
      </c>
      <c r="C77" s="3">
        <v>7</v>
      </c>
      <c r="D77" s="3">
        <v>2</v>
      </c>
      <c r="E77" s="3" t="str">
        <f>IFERROR(IF(ISBLANK(INDEX([1]Nilai_Mutu_MK!$F$2:$F$58,MATCH($A77,[1]Nilai_Mutu_MK!$B$2:$B$58,0))),"",INDEX([1]Nilai_Mutu_MK!$F$2:$F$58,MATCH($A77,[1]Nilai_Mutu_MK!$B$2:$B$58,0))),"")</f>
        <v/>
      </c>
      <c r="F77" s="3" t="str">
        <f>IF(E77="","",E77*D77)</f>
        <v/>
      </c>
    </row>
    <row r="78" spans="1:6" ht="15" customHeight="1" x14ac:dyDescent="0.3">
      <c r="A78" s="3" t="s">
        <v>79</v>
      </c>
      <c r="B78" s="4" t="s">
        <v>80</v>
      </c>
      <c r="C78" s="3">
        <v>7</v>
      </c>
      <c r="D78" s="3">
        <v>2</v>
      </c>
      <c r="E78" s="3" t="str">
        <f>IFERROR(IF(ISBLANK(INDEX([1]Nilai_Mutu_MK!$F$2:$F$58,MATCH($A78,[1]Nilai_Mutu_MK!$B$2:$B$58,0))),"",INDEX([1]Nilai_Mutu_MK!$F$2:$F$58,MATCH($A78,[1]Nilai_Mutu_MK!$B$2:$B$58,0))),"")</f>
        <v/>
      </c>
      <c r="F78" s="3" t="str">
        <f>IF(E78="","",E78*D78)</f>
        <v/>
      </c>
    </row>
    <row r="79" spans="1:6" ht="15" customHeight="1" x14ac:dyDescent="0.3">
      <c r="A79" s="3" t="s">
        <v>110</v>
      </c>
      <c r="B79" s="4" t="s">
        <v>111</v>
      </c>
      <c r="C79" s="3">
        <v>7</v>
      </c>
      <c r="D79" s="3">
        <v>2</v>
      </c>
      <c r="E79" s="3" t="str">
        <f>IFERROR(IF(ISBLANK(INDEX([1]Nilai_Mutu_MK!$F$2:$F$58,MATCH($A79,[1]Nilai_Mutu_MK!$B$2:$B$58,0))),"",INDEX([1]Nilai_Mutu_MK!$F$2:$F$58,MATCH($A79,[1]Nilai_Mutu_MK!$B$2:$B$58,0))),"")</f>
        <v/>
      </c>
      <c r="F79" s="3" t="str">
        <f>IF(E79="","",E79*D79)</f>
        <v/>
      </c>
    </row>
    <row r="80" spans="1:6" ht="15" customHeight="1" x14ac:dyDescent="0.3">
      <c r="A80" s="3" t="s">
        <v>81</v>
      </c>
      <c r="B80" s="4" t="s">
        <v>82</v>
      </c>
      <c r="C80" s="3">
        <v>7</v>
      </c>
      <c r="D80" s="3">
        <v>4</v>
      </c>
      <c r="E80" s="3" t="str">
        <f>IFERROR(IF(ISBLANK(INDEX([1]Nilai_Mutu_MK!$F$2:$F$58,MATCH($A80,[1]Nilai_Mutu_MK!$B$2:$B$58,0))),"",INDEX([1]Nilai_Mutu_MK!$F$2:$F$58,MATCH($A80,[1]Nilai_Mutu_MK!$B$2:$B$58,0))),"")</f>
        <v/>
      </c>
      <c r="F80" s="3" t="str">
        <f>IF(E80="","",E80*D80)</f>
        <v/>
      </c>
    </row>
    <row r="81" spans="1:6" ht="15" customHeight="1" x14ac:dyDescent="0.3">
      <c r="A81" s="3" t="s">
        <v>112</v>
      </c>
      <c r="B81" s="4" t="s">
        <v>113</v>
      </c>
      <c r="C81" s="3">
        <v>7</v>
      </c>
      <c r="D81" s="3">
        <v>2</v>
      </c>
      <c r="E81" s="3" t="str">
        <f>IFERROR(IF(ISBLANK(INDEX([1]Nilai_Mutu_MK!$F$2:$F$58,MATCH($A81,[1]Nilai_Mutu_MK!$B$2:$B$58,0))),"",INDEX([1]Nilai_Mutu_MK!$F$2:$F$58,MATCH($A81,[1]Nilai_Mutu_MK!$B$2:$B$58,0))),"")</f>
        <v/>
      </c>
      <c r="F81" s="3" t="str">
        <f>IF(E81="","",E81*D81)</f>
        <v/>
      </c>
    </row>
    <row r="82" spans="1:6" ht="15" customHeight="1" x14ac:dyDescent="0.3">
      <c r="A82" s="3" t="s">
        <v>83</v>
      </c>
      <c r="B82" s="4" t="s">
        <v>84</v>
      </c>
      <c r="C82" s="3">
        <v>7</v>
      </c>
      <c r="D82" s="3">
        <v>2</v>
      </c>
      <c r="E82" s="3" t="str">
        <f>IFERROR(IF(ISBLANK(INDEX([1]Nilai_Mutu_MK!$F$2:$F$58,MATCH($A82,[1]Nilai_Mutu_MK!$B$2:$B$58,0))),"",INDEX([1]Nilai_Mutu_MK!$F$2:$F$58,MATCH($A82,[1]Nilai_Mutu_MK!$B$2:$B$58,0))),"")</f>
        <v/>
      </c>
      <c r="F82" s="3" t="str">
        <f>IF(E82="","",E82*D82)</f>
        <v/>
      </c>
    </row>
    <row r="83" spans="1:6" ht="15" customHeight="1" x14ac:dyDescent="0.3">
      <c r="A83" s="3" t="s">
        <v>87</v>
      </c>
      <c r="B83" s="4" t="s">
        <v>88</v>
      </c>
      <c r="C83" s="3">
        <v>7</v>
      </c>
      <c r="D83" s="3">
        <v>2</v>
      </c>
      <c r="E83" s="3" t="str">
        <f>IFERROR(IF(ISBLANK(INDEX([1]Nilai_Mutu_MK!$F$2:$F$58,MATCH($A83,[1]Nilai_Mutu_MK!$B$2:$B$58,0))),"",INDEX([1]Nilai_Mutu_MK!$F$2:$F$58,MATCH($A83,[1]Nilai_Mutu_MK!$B$2:$B$58,0))),"")</f>
        <v/>
      </c>
      <c r="F83" s="3" t="str">
        <f>IF(E83="","",E83*D83)</f>
        <v/>
      </c>
    </row>
    <row r="84" spans="1:6" ht="15" customHeight="1" x14ac:dyDescent="0.3">
      <c r="A84" s="3" t="s">
        <v>89</v>
      </c>
      <c r="B84" s="4" t="s">
        <v>90</v>
      </c>
      <c r="C84" s="3">
        <v>8</v>
      </c>
      <c r="D84" s="3">
        <v>6</v>
      </c>
      <c r="E84" s="3" t="str">
        <f>IFERROR(IF(ISBLANK(INDEX([1]Nilai_Mutu_MK!$F$2:$F$58,MATCH($A84,[1]Nilai_Mutu_MK!$B$2:$B$58,0))),"",INDEX([1]Nilai_Mutu_MK!$F$2:$F$58,MATCH($A84,[1]Nilai_Mutu_MK!$B$2:$B$58,0))),"")</f>
        <v/>
      </c>
      <c r="F84" s="3" t="str">
        <f>IF(E84="","",E84*D84)</f>
        <v/>
      </c>
    </row>
    <row r="85" spans="1:6" ht="15" customHeight="1" x14ac:dyDescent="0.3">
      <c r="C85" s="5" t="s">
        <v>93</v>
      </c>
      <c r="D85" s="6">
        <f>SUM(D50:D84)</f>
        <v>83</v>
      </c>
    </row>
    <row r="86" spans="1:6" ht="21.6" customHeight="1" x14ac:dyDescent="0.3">
      <c r="C86" s="5" t="s">
        <v>114</v>
      </c>
      <c r="D86" s="7" t="str">
        <f>IFERROR(SUM(F50:F84)/SUMPRODUCT(ISNUMBER(E50:E84)*D50:D84),"belum ada nilai diisi")</f>
        <v>belum ada nilai diisi</v>
      </c>
    </row>
    <row r="89" spans="1:6" ht="19.5" customHeight="1" x14ac:dyDescent="0.3">
      <c r="A89" s="1" t="s">
        <v>115</v>
      </c>
      <c r="B89" s="1"/>
      <c r="C89" s="1"/>
      <c r="D89" s="1"/>
      <c r="E89" s="1"/>
      <c r="F89" s="1"/>
    </row>
    <row r="90" spans="1:6" ht="24" x14ac:dyDescent="0.3">
      <c r="A90" s="2" t="s">
        <v>1</v>
      </c>
      <c r="B90" s="2" t="s">
        <v>2</v>
      </c>
      <c r="C90" s="2" t="s">
        <v>3</v>
      </c>
      <c r="D90" s="2" t="s">
        <v>4</v>
      </c>
      <c r="E90" s="2" t="s">
        <v>5</v>
      </c>
      <c r="F90" s="2" t="s">
        <v>6</v>
      </c>
    </row>
    <row r="91" spans="1:6" ht="15" customHeight="1" x14ac:dyDescent="0.3">
      <c r="A91" s="3" t="s">
        <v>116</v>
      </c>
      <c r="B91" s="4" t="s">
        <v>117</v>
      </c>
      <c r="C91" s="3">
        <v>1</v>
      </c>
      <c r="D91" s="3">
        <v>2</v>
      </c>
      <c r="E91" s="3">
        <f>IFERROR(IF(ISBLANK(INDEX([1]Nilai_Mutu_MK!$F$2:$F$58,MATCH($A91,[1]Nilai_Mutu_MK!$B$2:$B$58,0))),"",INDEX([1]Nilai_Mutu_MK!$F$2:$F$58,MATCH($A91,[1]Nilai_Mutu_MK!$B$2:$B$58,0))),"")</f>
        <v>3.5</v>
      </c>
      <c r="F91" s="3">
        <f t="shared" ref="F91:F95" si="1">IF(E91="","",E91*D91)</f>
        <v>7</v>
      </c>
    </row>
    <row r="92" spans="1:6" ht="15" customHeight="1" x14ac:dyDescent="0.3">
      <c r="A92" s="3" t="s">
        <v>118</v>
      </c>
      <c r="B92" s="4" t="s">
        <v>119</v>
      </c>
      <c r="C92" s="3">
        <v>1</v>
      </c>
      <c r="D92" s="3">
        <v>2</v>
      </c>
      <c r="E92" s="3" t="str">
        <f>IFERROR(IF(ISBLANK(INDEX([1]Nilai_Mutu_MK!$F$2:$F$58,MATCH($A92,[1]Nilai_Mutu_MK!$B$2:$B$58,0))),"",INDEX([1]Nilai_Mutu_MK!$F$2:$F$58,MATCH($A92,[1]Nilai_Mutu_MK!$B$2:$B$58,0))),"")</f>
        <v/>
      </c>
      <c r="F92" s="3" t="str">
        <f t="shared" si="1"/>
        <v/>
      </c>
    </row>
    <row r="93" spans="1:6" ht="15" customHeight="1" x14ac:dyDescent="0.3">
      <c r="A93" s="3" t="s">
        <v>120</v>
      </c>
      <c r="B93" s="4" t="s">
        <v>121</v>
      </c>
      <c r="C93" s="3">
        <v>2</v>
      </c>
      <c r="D93" s="3">
        <v>2</v>
      </c>
      <c r="E93" s="3" t="str">
        <f>IFERROR(IF(ISBLANK(INDEX([1]Nilai_Mutu_MK!$F$2:$F$58,MATCH($A93,[1]Nilai_Mutu_MK!$B$2:$B$58,0))),"",INDEX([1]Nilai_Mutu_MK!$F$2:$F$58,MATCH($A93,[1]Nilai_Mutu_MK!$B$2:$B$58,0))),"")</f>
        <v/>
      </c>
      <c r="F93" s="3" t="str">
        <f t="shared" si="1"/>
        <v/>
      </c>
    </row>
    <row r="94" spans="1:6" ht="15" customHeight="1" x14ac:dyDescent="0.3">
      <c r="A94" s="3" t="s">
        <v>122</v>
      </c>
      <c r="B94" s="4" t="s">
        <v>123</v>
      </c>
      <c r="C94" s="3">
        <v>2</v>
      </c>
      <c r="D94" s="3">
        <v>2</v>
      </c>
      <c r="E94" s="3" t="str">
        <f>IFERROR(IF(ISBLANK(INDEX([1]Nilai_Mutu_MK!$F$2:$F$58,MATCH($A94,[1]Nilai_Mutu_MK!$B$2:$B$58,0))),"",INDEX([1]Nilai_Mutu_MK!$F$2:$F$58,MATCH($A94,[1]Nilai_Mutu_MK!$B$2:$B$58,0))),"")</f>
        <v/>
      </c>
      <c r="F94" s="3" t="str">
        <f t="shared" si="1"/>
        <v/>
      </c>
    </row>
    <row r="95" spans="1:6" ht="15" customHeight="1" x14ac:dyDescent="0.3">
      <c r="A95" s="3" t="s">
        <v>124</v>
      </c>
      <c r="B95" s="4" t="s">
        <v>125</v>
      </c>
      <c r="C95" s="3">
        <v>2</v>
      </c>
      <c r="D95" s="3">
        <v>2</v>
      </c>
      <c r="E95" s="3" t="str">
        <f>IFERROR(IF(ISBLANK(INDEX([1]Nilai_Mutu_MK!$F$2:$F$58,MATCH($A95,[1]Nilai_Mutu_MK!$B$2:$B$58,0))),"",INDEX([1]Nilai_Mutu_MK!$F$2:$F$58,MATCH($A95,[1]Nilai_Mutu_MK!$B$2:$B$58,0))),"")</f>
        <v/>
      </c>
      <c r="F95" s="3" t="str">
        <f t="shared" si="1"/>
        <v/>
      </c>
    </row>
    <row r="96" spans="1:6" ht="15" customHeight="1" x14ac:dyDescent="0.3">
      <c r="A96" s="3" t="s">
        <v>96</v>
      </c>
      <c r="B96" s="4" t="s">
        <v>97</v>
      </c>
      <c r="C96" s="3">
        <v>3</v>
      </c>
      <c r="D96" s="3">
        <v>2</v>
      </c>
      <c r="E96" s="3" t="str">
        <f>IFERROR(IF(ISBLANK(INDEX([1]Nilai_Mutu_MK!$F$2:$F$58,MATCH($A96,[1]Nilai_Mutu_MK!$B$2:$B$58,0))),"",INDEX([1]Nilai_Mutu_MK!$F$2:$F$58,MATCH($A96,[1]Nilai_Mutu_MK!$B$2:$B$58,0))),"")</f>
        <v/>
      </c>
      <c r="F96" s="3" t="str">
        <f>IF(E96="","",E96*D96)</f>
        <v/>
      </c>
    </row>
    <row r="97" spans="1:6" ht="15" customHeight="1" x14ac:dyDescent="0.3">
      <c r="A97" s="3" t="s">
        <v>39</v>
      </c>
      <c r="B97" s="4" t="s">
        <v>40</v>
      </c>
      <c r="C97" s="3">
        <v>4</v>
      </c>
      <c r="D97" s="3">
        <v>3</v>
      </c>
      <c r="E97" s="3" t="str">
        <f>IFERROR(IF(ISBLANK(INDEX([1]Nilai_Mutu_MK!$F$2:$F$58,MATCH($A97,[1]Nilai_Mutu_MK!$B$2:$B$58,0))),"",INDEX([1]Nilai_Mutu_MK!$F$2:$F$58,MATCH($A97,[1]Nilai_Mutu_MK!$B$2:$B$58,0))),"")</f>
        <v/>
      </c>
      <c r="F97" s="3" t="str">
        <f>IF(E97="","",E97*D97)</f>
        <v/>
      </c>
    </row>
    <row r="98" spans="1:6" ht="15" customHeight="1" x14ac:dyDescent="0.3">
      <c r="A98" s="3" t="s">
        <v>65</v>
      </c>
      <c r="B98" s="4" t="s">
        <v>66</v>
      </c>
      <c r="C98" s="3">
        <v>5</v>
      </c>
      <c r="D98" s="3">
        <v>2</v>
      </c>
      <c r="E98" s="3" t="str">
        <f>IFERROR(IF(ISBLANK(INDEX([1]Nilai_Mutu_MK!$F$2:$F$58,MATCH($A98,[1]Nilai_Mutu_MK!$B$2:$B$58,0))),"",INDEX([1]Nilai_Mutu_MK!$F$2:$F$58,MATCH($A98,[1]Nilai_Mutu_MK!$B$2:$B$58,0))),"")</f>
        <v/>
      </c>
      <c r="F98" s="3" t="str">
        <f>IF(E98="","",E98*D98)</f>
        <v/>
      </c>
    </row>
    <row r="99" spans="1:6" ht="15" customHeight="1" x14ac:dyDescent="0.3">
      <c r="A99" s="3" t="s">
        <v>110</v>
      </c>
      <c r="B99" s="4" t="s">
        <v>111</v>
      </c>
      <c r="C99" s="3">
        <v>7</v>
      </c>
      <c r="D99" s="3">
        <v>2</v>
      </c>
      <c r="E99" s="3" t="str">
        <f>IFERROR(IF(ISBLANK(INDEX([1]Nilai_Mutu_MK!$F$2:$F$58,MATCH($A99,[1]Nilai_Mutu_MK!$B$2:$B$58,0))),"",INDEX([1]Nilai_Mutu_MK!$F$2:$F$58,MATCH($A99,[1]Nilai_Mutu_MK!$B$2:$B$58,0))),"")</f>
        <v/>
      </c>
      <c r="F99" s="3" t="str">
        <f>IF(E99="","",E99*D99)</f>
        <v/>
      </c>
    </row>
    <row r="100" spans="1:6" ht="15" customHeight="1" x14ac:dyDescent="0.3">
      <c r="A100" s="3" t="s">
        <v>81</v>
      </c>
      <c r="B100" s="4" t="s">
        <v>82</v>
      </c>
      <c r="C100" s="3">
        <v>7</v>
      </c>
      <c r="D100" s="3">
        <v>4</v>
      </c>
      <c r="E100" s="3" t="str">
        <f>IFERROR(IF(ISBLANK(INDEX([1]Nilai_Mutu_MK!$F$2:$F$58,MATCH($A100,[1]Nilai_Mutu_MK!$B$2:$B$58,0))),"",INDEX([1]Nilai_Mutu_MK!$F$2:$F$58,MATCH($A100,[1]Nilai_Mutu_MK!$B$2:$B$58,0))),"")</f>
        <v/>
      </c>
      <c r="F100" s="3" t="str">
        <f>IF(E100="","",E100*D100)</f>
        <v/>
      </c>
    </row>
    <row r="101" spans="1:6" ht="15" customHeight="1" x14ac:dyDescent="0.3">
      <c r="A101" s="3" t="s">
        <v>83</v>
      </c>
      <c r="B101" s="4" t="s">
        <v>84</v>
      </c>
      <c r="C101" s="3">
        <v>7</v>
      </c>
      <c r="D101" s="3">
        <v>2</v>
      </c>
      <c r="E101" s="3" t="str">
        <f>IFERROR(IF(ISBLANK(INDEX([1]Nilai_Mutu_MK!$F$2:$F$58,MATCH($A101,[1]Nilai_Mutu_MK!$B$2:$B$58,0))),"",INDEX([1]Nilai_Mutu_MK!$F$2:$F$58,MATCH($A101,[1]Nilai_Mutu_MK!$B$2:$B$58,0))),"")</f>
        <v/>
      </c>
      <c r="F101" s="3" t="str">
        <f>IF(E101="","",E101*D101)</f>
        <v/>
      </c>
    </row>
    <row r="102" spans="1:6" ht="15" customHeight="1" x14ac:dyDescent="0.3">
      <c r="A102" s="3" t="s">
        <v>85</v>
      </c>
      <c r="B102" s="4" t="s">
        <v>86</v>
      </c>
      <c r="C102" s="3">
        <v>7</v>
      </c>
      <c r="D102" s="3">
        <v>2</v>
      </c>
      <c r="E102" s="3" t="str">
        <f>IFERROR(IF(ISBLANK(INDEX([1]Nilai_Mutu_MK!$F$2:$F$58,MATCH($A102,[1]Nilai_Mutu_MK!$B$2:$B$58,0))),"",INDEX([1]Nilai_Mutu_MK!$F$2:$F$58,MATCH($A102,[1]Nilai_Mutu_MK!$B$2:$B$58,0))),"")</f>
        <v/>
      </c>
      <c r="F102" s="3" t="str">
        <f>IF(E102="","",E102*D102)</f>
        <v/>
      </c>
    </row>
    <row r="103" spans="1:6" ht="15" customHeight="1" x14ac:dyDescent="0.3">
      <c r="A103" s="3" t="s">
        <v>89</v>
      </c>
      <c r="B103" s="4" t="s">
        <v>90</v>
      </c>
      <c r="C103" s="3">
        <v>8</v>
      </c>
      <c r="D103" s="3">
        <v>6</v>
      </c>
      <c r="E103" s="3" t="str">
        <f>IFERROR(IF(ISBLANK(INDEX([1]Nilai_Mutu_MK!$F$2:$F$58,MATCH($A103,[1]Nilai_Mutu_MK!$B$2:$B$58,0))),"",INDEX([1]Nilai_Mutu_MK!$F$2:$F$58,MATCH($A103,[1]Nilai_Mutu_MK!$B$2:$B$58,0))),"")</f>
        <v/>
      </c>
      <c r="F103" s="3" t="str">
        <f>IF(E103="","",E103*D103)</f>
        <v/>
      </c>
    </row>
    <row r="104" spans="1:6" ht="15" customHeight="1" x14ac:dyDescent="0.3">
      <c r="C104" s="5" t="s">
        <v>93</v>
      </c>
      <c r="D104" s="6">
        <f>SUM(D91:D103)</f>
        <v>33</v>
      </c>
    </row>
    <row r="105" spans="1:6" x14ac:dyDescent="0.3">
      <c r="C105" s="5" t="s">
        <v>126</v>
      </c>
      <c r="D105" s="7">
        <f>IFERROR(SUM(F91:F103)/SUMPRODUCT(ISNUMBER(E91:E103)*D91:D103),"belum ada nilai diisi")</f>
        <v>3.5</v>
      </c>
    </row>
    <row r="108" spans="1:6" ht="19.5" customHeight="1" x14ac:dyDescent="0.3">
      <c r="A108" s="1" t="s">
        <v>127</v>
      </c>
      <c r="B108" s="1"/>
      <c r="C108" s="1"/>
      <c r="D108" s="1"/>
      <c r="E108" s="1"/>
      <c r="F108" s="1"/>
    </row>
    <row r="109" spans="1:6" ht="24" x14ac:dyDescent="0.3">
      <c r="A109" s="2" t="s">
        <v>1</v>
      </c>
      <c r="B109" s="2" t="s">
        <v>2</v>
      </c>
      <c r="C109" s="2" t="s">
        <v>3</v>
      </c>
      <c r="D109" s="2" t="s">
        <v>4</v>
      </c>
      <c r="E109" s="2" t="s">
        <v>5</v>
      </c>
      <c r="F109" s="2" t="s">
        <v>6</v>
      </c>
    </row>
    <row r="110" spans="1:6" ht="15" customHeight="1" x14ac:dyDescent="0.3">
      <c r="A110" s="3" t="s">
        <v>118</v>
      </c>
      <c r="B110" s="4" t="s">
        <v>119</v>
      </c>
      <c r="C110" s="3">
        <v>1</v>
      </c>
      <c r="D110" s="3">
        <v>2</v>
      </c>
      <c r="E110" s="3" t="str">
        <f>IFERROR(IF(ISBLANK(INDEX([1]Nilai_Mutu_MK!$F$2:$F$58,MATCH($A110,[1]Nilai_Mutu_MK!$B$2:$B$58,0))),"",INDEX([1]Nilai_Mutu_MK!$F$2:$F$58,MATCH($A110,[1]Nilai_Mutu_MK!$B$2:$B$58,0))),"")</f>
        <v/>
      </c>
      <c r="F110" s="3" t="str">
        <f t="shared" ref="F110:F126" si="2">IF(E110="","",E110*D110)</f>
        <v/>
      </c>
    </row>
    <row r="111" spans="1:6" ht="15" customHeight="1" x14ac:dyDescent="0.3">
      <c r="A111" s="3" t="s">
        <v>120</v>
      </c>
      <c r="B111" s="4" t="s">
        <v>121</v>
      </c>
      <c r="C111" s="3">
        <v>2</v>
      </c>
      <c r="D111" s="3">
        <v>2</v>
      </c>
      <c r="E111" s="3" t="str">
        <f>IFERROR(IF(ISBLANK(INDEX([1]Nilai_Mutu_MK!$F$2:$F$58,MATCH($A111,[1]Nilai_Mutu_MK!$B$2:$B$58,0))),"",INDEX([1]Nilai_Mutu_MK!$F$2:$F$58,MATCH($A111,[1]Nilai_Mutu_MK!$B$2:$B$58,0))),"")</f>
        <v/>
      </c>
      <c r="F111" s="3" t="str">
        <f t="shared" si="2"/>
        <v/>
      </c>
    </row>
    <row r="112" spans="1:6" ht="15" customHeight="1" x14ac:dyDescent="0.3">
      <c r="A112" s="3" t="s">
        <v>122</v>
      </c>
      <c r="B112" s="4" t="s">
        <v>123</v>
      </c>
      <c r="C112" s="3">
        <v>2</v>
      </c>
      <c r="D112" s="3">
        <v>2</v>
      </c>
      <c r="E112" s="3" t="str">
        <f>IFERROR(IF(ISBLANK(INDEX([1]Nilai_Mutu_MK!$F$2:$F$58,MATCH($A112,[1]Nilai_Mutu_MK!$B$2:$B$58,0))),"",INDEX([1]Nilai_Mutu_MK!$F$2:$F$58,MATCH($A112,[1]Nilai_Mutu_MK!$B$2:$B$58,0))),"")</f>
        <v/>
      </c>
      <c r="F112" s="3" t="str">
        <f t="shared" si="2"/>
        <v/>
      </c>
    </row>
    <row r="113" spans="1:6" ht="15" customHeight="1" x14ac:dyDescent="0.3">
      <c r="A113" s="3" t="s">
        <v>124</v>
      </c>
      <c r="B113" s="4" t="s">
        <v>125</v>
      </c>
      <c r="C113" s="3">
        <v>2</v>
      </c>
      <c r="D113" s="3">
        <v>2</v>
      </c>
      <c r="E113" s="3" t="str">
        <f>IFERROR(IF(ISBLANK(INDEX([1]Nilai_Mutu_MK!$F$2:$F$58,MATCH($A113,[1]Nilai_Mutu_MK!$B$2:$B$58,0))),"",INDEX([1]Nilai_Mutu_MK!$F$2:$F$58,MATCH($A113,[1]Nilai_Mutu_MK!$B$2:$B$58,0))),"")</f>
        <v/>
      </c>
      <c r="F113" s="3" t="str">
        <f t="shared" si="2"/>
        <v/>
      </c>
    </row>
    <row r="114" spans="1:6" ht="15" customHeight="1" x14ac:dyDescent="0.3">
      <c r="A114" s="3" t="s">
        <v>98</v>
      </c>
      <c r="B114" s="4" t="s">
        <v>99</v>
      </c>
      <c r="C114" s="3">
        <v>4</v>
      </c>
      <c r="D114" s="3">
        <v>2</v>
      </c>
      <c r="E114" s="3" t="str">
        <f>IFERROR(IF(ISBLANK(INDEX([1]Nilai_Mutu_MK!$F$2:$F$58,MATCH($A114,[1]Nilai_Mutu_MK!$B$2:$B$58,0))),"",INDEX([1]Nilai_Mutu_MK!$F$2:$F$58,MATCH($A114,[1]Nilai_Mutu_MK!$B$2:$B$58,0))),"")</f>
        <v/>
      </c>
      <c r="F114" s="3" t="str">
        <f t="shared" si="2"/>
        <v/>
      </c>
    </row>
    <row r="115" spans="1:6" ht="15" customHeight="1" x14ac:dyDescent="0.3">
      <c r="A115" s="3" t="s">
        <v>57</v>
      </c>
      <c r="B115" s="4" t="s">
        <v>58</v>
      </c>
      <c r="C115" s="3">
        <v>5</v>
      </c>
      <c r="D115" s="3">
        <v>3</v>
      </c>
      <c r="E115" s="3" t="str">
        <f>IFERROR(IF(ISBLANK(INDEX([1]Nilai_Mutu_MK!$F$2:$F$58,MATCH($A115,[1]Nilai_Mutu_MK!$B$2:$B$58,0))),"",INDEX([1]Nilai_Mutu_MK!$F$2:$F$58,MATCH($A115,[1]Nilai_Mutu_MK!$B$2:$B$58,0))),"")</f>
        <v/>
      </c>
      <c r="F115" s="3" t="str">
        <f t="shared" si="2"/>
        <v/>
      </c>
    </row>
    <row r="116" spans="1:6" ht="15" customHeight="1" x14ac:dyDescent="0.3">
      <c r="A116" s="3" t="s">
        <v>102</v>
      </c>
      <c r="B116" s="4" t="s">
        <v>103</v>
      </c>
      <c r="C116" s="3">
        <v>6</v>
      </c>
      <c r="D116" s="3">
        <v>2</v>
      </c>
      <c r="E116" s="3" t="str">
        <f>IFERROR(IF(ISBLANK(INDEX([1]Nilai_Mutu_MK!$F$2:$F$58,MATCH($A116,[1]Nilai_Mutu_MK!$B$2:$B$58,0))),"",INDEX([1]Nilai_Mutu_MK!$F$2:$F$58,MATCH($A116,[1]Nilai_Mutu_MK!$B$2:$B$58,0))),"")</f>
        <v/>
      </c>
      <c r="F116" s="3" t="str">
        <f t="shared" si="2"/>
        <v/>
      </c>
    </row>
    <row r="117" spans="1:6" ht="15" customHeight="1" x14ac:dyDescent="0.3">
      <c r="A117" s="3" t="s">
        <v>67</v>
      </c>
      <c r="B117" s="4" t="s">
        <v>68</v>
      </c>
      <c r="C117" s="3">
        <v>6</v>
      </c>
      <c r="D117" s="3">
        <v>2</v>
      </c>
      <c r="E117" s="3" t="str">
        <f>IFERROR(IF(ISBLANK(INDEX([1]Nilai_Mutu_MK!$F$2:$F$58,MATCH($A117,[1]Nilai_Mutu_MK!$B$2:$B$58,0))),"",INDEX([1]Nilai_Mutu_MK!$F$2:$F$58,MATCH($A117,[1]Nilai_Mutu_MK!$B$2:$B$58,0))),"")</f>
        <v/>
      </c>
      <c r="F117" s="3" t="str">
        <f t="shared" si="2"/>
        <v/>
      </c>
    </row>
    <row r="118" spans="1:6" ht="15" customHeight="1" x14ac:dyDescent="0.3">
      <c r="A118" s="3" t="s">
        <v>69</v>
      </c>
      <c r="B118" s="4" t="s">
        <v>70</v>
      </c>
      <c r="C118" s="3">
        <v>6</v>
      </c>
      <c r="D118" s="3">
        <v>2</v>
      </c>
      <c r="E118" s="3" t="str">
        <f>IFERROR(IF(ISBLANK(INDEX([1]Nilai_Mutu_MK!$F$2:$F$58,MATCH($A118,[1]Nilai_Mutu_MK!$B$2:$B$58,0))),"",INDEX([1]Nilai_Mutu_MK!$F$2:$F$58,MATCH($A118,[1]Nilai_Mutu_MK!$B$2:$B$58,0))),"")</f>
        <v/>
      </c>
      <c r="F118" s="3" t="str">
        <f t="shared" si="2"/>
        <v/>
      </c>
    </row>
    <row r="119" spans="1:6" ht="15" customHeight="1" x14ac:dyDescent="0.3">
      <c r="A119" s="3" t="s">
        <v>75</v>
      </c>
      <c r="B119" s="4" t="s">
        <v>76</v>
      </c>
      <c r="C119" s="3">
        <v>6</v>
      </c>
      <c r="D119" s="3">
        <v>2</v>
      </c>
      <c r="E119" s="3" t="str">
        <f>IFERROR(IF(ISBLANK(INDEX([1]Nilai_Mutu_MK!$F$2:$F$58,MATCH($A119,[1]Nilai_Mutu_MK!$B$2:$B$58,0))),"",INDEX([1]Nilai_Mutu_MK!$F$2:$F$58,MATCH($A119,[1]Nilai_Mutu_MK!$B$2:$B$58,0))),"")</f>
        <v/>
      </c>
      <c r="F119" s="3" t="str">
        <f t="shared" si="2"/>
        <v/>
      </c>
    </row>
    <row r="120" spans="1:6" ht="15" customHeight="1" x14ac:dyDescent="0.3">
      <c r="A120" s="3" t="s">
        <v>77</v>
      </c>
      <c r="B120" s="4" t="s">
        <v>78</v>
      </c>
      <c r="C120" s="3">
        <v>7</v>
      </c>
      <c r="D120" s="3">
        <v>2</v>
      </c>
      <c r="E120" s="3" t="str">
        <f>IFERROR(IF(ISBLANK(INDEX([1]Nilai_Mutu_MK!$F$2:$F$58,MATCH($A120,[1]Nilai_Mutu_MK!$B$2:$B$58,0))),"",INDEX([1]Nilai_Mutu_MK!$F$2:$F$58,MATCH($A120,[1]Nilai_Mutu_MK!$B$2:$B$58,0))),"")</f>
        <v/>
      </c>
      <c r="F120" s="3" t="str">
        <f t="shared" si="2"/>
        <v/>
      </c>
    </row>
    <row r="121" spans="1:6" ht="15" customHeight="1" x14ac:dyDescent="0.3">
      <c r="A121" s="3" t="s">
        <v>79</v>
      </c>
      <c r="B121" s="4" t="s">
        <v>80</v>
      </c>
      <c r="C121" s="3">
        <v>7</v>
      </c>
      <c r="D121" s="3">
        <v>2</v>
      </c>
      <c r="E121" s="3" t="str">
        <f>IFERROR(IF(ISBLANK(INDEX([1]Nilai_Mutu_MK!$F$2:$F$58,MATCH($A121,[1]Nilai_Mutu_MK!$B$2:$B$58,0))),"",INDEX([1]Nilai_Mutu_MK!$F$2:$F$58,MATCH($A121,[1]Nilai_Mutu_MK!$B$2:$B$58,0))),"")</f>
        <v/>
      </c>
      <c r="F121" s="3" t="str">
        <f t="shared" si="2"/>
        <v/>
      </c>
    </row>
    <row r="122" spans="1:6" ht="15" customHeight="1" x14ac:dyDescent="0.3">
      <c r="A122" s="3" t="s">
        <v>81</v>
      </c>
      <c r="B122" s="4" t="s">
        <v>82</v>
      </c>
      <c r="C122" s="3">
        <v>7</v>
      </c>
      <c r="D122" s="3">
        <v>4</v>
      </c>
      <c r="E122" s="3" t="str">
        <f>IFERROR(IF(ISBLANK(INDEX([1]Nilai_Mutu_MK!$F$2:$F$58,MATCH($A122,[1]Nilai_Mutu_MK!$B$2:$B$58,0))),"",INDEX([1]Nilai_Mutu_MK!$F$2:$F$58,MATCH($A122,[1]Nilai_Mutu_MK!$B$2:$B$58,0))),"")</f>
        <v/>
      </c>
      <c r="F122" s="3" t="str">
        <f t="shared" si="2"/>
        <v/>
      </c>
    </row>
    <row r="123" spans="1:6" ht="15" customHeight="1" x14ac:dyDescent="0.3">
      <c r="A123" s="3" t="s">
        <v>112</v>
      </c>
      <c r="B123" s="4" t="s">
        <v>113</v>
      </c>
      <c r="C123" s="3">
        <v>7</v>
      </c>
      <c r="D123" s="3">
        <v>2</v>
      </c>
      <c r="E123" s="3" t="str">
        <f>IFERROR(IF(ISBLANK(INDEX([1]Nilai_Mutu_MK!$F$2:$F$58,MATCH($A123,[1]Nilai_Mutu_MK!$B$2:$B$58,0))),"",INDEX([1]Nilai_Mutu_MK!$F$2:$F$58,MATCH($A123,[1]Nilai_Mutu_MK!$B$2:$B$58,0))),"")</f>
        <v/>
      </c>
      <c r="F123" s="3" t="str">
        <f t="shared" si="2"/>
        <v/>
      </c>
    </row>
    <row r="124" spans="1:6" ht="15" customHeight="1" x14ac:dyDescent="0.3">
      <c r="A124" s="3" t="s">
        <v>85</v>
      </c>
      <c r="B124" s="4" t="s">
        <v>86</v>
      </c>
      <c r="C124" s="3">
        <v>7</v>
      </c>
      <c r="D124" s="3">
        <v>2</v>
      </c>
      <c r="E124" s="3" t="str">
        <f>IFERROR(IF(ISBLANK(INDEX([1]Nilai_Mutu_MK!$F$2:$F$58,MATCH($A124,[1]Nilai_Mutu_MK!$B$2:$B$58,0))),"",INDEX([1]Nilai_Mutu_MK!$F$2:$F$58,MATCH($A124,[1]Nilai_Mutu_MK!$B$2:$B$58,0))),"")</f>
        <v/>
      </c>
      <c r="F124" s="3" t="str">
        <f t="shared" si="2"/>
        <v/>
      </c>
    </row>
    <row r="125" spans="1:6" ht="15" customHeight="1" x14ac:dyDescent="0.3">
      <c r="A125" s="3" t="s">
        <v>87</v>
      </c>
      <c r="B125" s="4" t="s">
        <v>88</v>
      </c>
      <c r="C125" s="3">
        <v>7</v>
      </c>
      <c r="D125" s="3">
        <v>2</v>
      </c>
      <c r="E125" s="3" t="str">
        <f>IFERROR(IF(ISBLANK(INDEX([1]Nilai_Mutu_MK!$F$2:$F$58,MATCH($A125,[1]Nilai_Mutu_MK!$B$2:$B$58,0))),"",INDEX([1]Nilai_Mutu_MK!$F$2:$F$58,MATCH($A125,[1]Nilai_Mutu_MK!$B$2:$B$58,0))),"")</f>
        <v/>
      </c>
      <c r="F125" s="3" t="str">
        <f t="shared" si="2"/>
        <v/>
      </c>
    </row>
    <row r="126" spans="1:6" ht="15" customHeight="1" x14ac:dyDescent="0.3">
      <c r="A126" s="3" t="s">
        <v>89</v>
      </c>
      <c r="B126" s="4" t="s">
        <v>90</v>
      </c>
      <c r="C126" s="3">
        <v>8</v>
      </c>
      <c r="D126" s="3">
        <v>6</v>
      </c>
      <c r="E126" s="3" t="str">
        <f>IFERROR(IF(ISBLANK(INDEX([1]Nilai_Mutu_MK!$F$2:$F$58,MATCH($A126,[1]Nilai_Mutu_MK!$B$2:$B$58,0))),"",INDEX([1]Nilai_Mutu_MK!$F$2:$F$58,MATCH($A126,[1]Nilai_Mutu_MK!$B$2:$B$58,0))),"")</f>
        <v/>
      </c>
      <c r="F126" s="3" t="str">
        <f t="shared" si="2"/>
        <v/>
      </c>
    </row>
    <row r="127" spans="1:6" x14ac:dyDescent="0.3">
      <c r="C127" s="5" t="s">
        <v>93</v>
      </c>
      <c r="D127" s="6">
        <f>SUM(D110:D126)</f>
        <v>41</v>
      </c>
    </row>
    <row r="128" spans="1:6" ht="66" x14ac:dyDescent="0.3">
      <c r="C128" s="5" t="s">
        <v>128</v>
      </c>
      <c r="D128" s="7" t="str">
        <f>IFERROR(SUM(F110:F126)/SUMPRODUCT(ISNUMBER(E110:E126)*D110:D126),"belum ada nilai diisi")</f>
        <v>belum ada nilai diisi</v>
      </c>
    </row>
    <row r="130" spans="1:6" ht="19.5" customHeight="1" x14ac:dyDescent="0.3">
      <c r="A130" s="1" t="s">
        <v>129</v>
      </c>
      <c r="B130" s="1"/>
      <c r="C130" s="1"/>
      <c r="D130" s="1"/>
      <c r="E130" s="1"/>
      <c r="F130" s="1"/>
    </row>
    <row r="131" spans="1:6" ht="24" x14ac:dyDescent="0.3">
      <c r="A131" s="2" t="s">
        <v>1</v>
      </c>
      <c r="B131" s="2" t="s">
        <v>2</v>
      </c>
      <c r="C131" s="2" t="s">
        <v>3</v>
      </c>
      <c r="D131" s="2" t="s">
        <v>4</v>
      </c>
      <c r="E131" s="2" t="s">
        <v>5</v>
      </c>
      <c r="F131" s="2" t="s">
        <v>6</v>
      </c>
    </row>
    <row r="132" spans="1:6" ht="15" customHeight="1" x14ac:dyDescent="0.3">
      <c r="A132" s="3" t="s">
        <v>98</v>
      </c>
      <c r="B132" s="4" t="s">
        <v>99</v>
      </c>
      <c r="C132" s="3">
        <v>4</v>
      </c>
      <c r="D132" s="3">
        <v>2</v>
      </c>
      <c r="E132" s="3" t="str">
        <f>IFERROR(IF(ISBLANK(INDEX([1]Nilai_Mutu_MK!$F$2:$F$58,MATCH($A132,[1]Nilai_Mutu_MK!$B$2:$B$58,0))),"",INDEX([1]Nilai_Mutu_MK!$F$2:$F$58,MATCH($A132,[1]Nilai_Mutu_MK!$B$2:$B$58,0))),"")</f>
        <v/>
      </c>
      <c r="F132" s="3" t="str">
        <f>IF(E132="","",E132*D132)</f>
        <v/>
      </c>
    </row>
    <row r="133" spans="1:6" ht="15" customHeight="1" x14ac:dyDescent="0.3">
      <c r="A133" s="3" t="s">
        <v>102</v>
      </c>
      <c r="B133" s="4" t="s">
        <v>103</v>
      </c>
      <c r="C133" s="3">
        <v>6</v>
      </c>
      <c r="D133" s="3">
        <v>2</v>
      </c>
      <c r="E133" s="3" t="str">
        <f>IFERROR(IF(ISBLANK(INDEX([1]Nilai_Mutu_MK!$F$2:$F$58,MATCH($A133,[1]Nilai_Mutu_MK!$B$2:$B$58,0))),"",INDEX([1]Nilai_Mutu_MK!$F$2:$F$58,MATCH($A133,[1]Nilai_Mutu_MK!$B$2:$B$58,0))),"")</f>
        <v/>
      </c>
      <c r="F133" s="3" t="str">
        <f>IF(E133="","",E133*D133)</f>
        <v/>
      </c>
    </row>
    <row r="134" spans="1:6" ht="15" customHeight="1" x14ac:dyDescent="0.3">
      <c r="A134" s="3" t="s">
        <v>106</v>
      </c>
      <c r="B134" s="4" t="s">
        <v>107</v>
      </c>
      <c r="C134" s="3">
        <v>6</v>
      </c>
      <c r="D134" s="3">
        <v>2</v>
      </c>
      <c r="E134" s="3" t="str">
        <f>IFERROR(IF(ISBLANK(INDEX([1]Nilai_Mutu_MK!$F$2:$F$58,MATCH($A134,[1]Nilai_Mutu_MK!$B$2:$B$58,0))),"",INDEX([1]Nilai_Mutu_MK!$F$2:$F$58,MATCH($A134,[1]Nilai_Mutu_MK!$B$2:$B$58,0))),"")</f>
        <v/>
      </c>
      <c r="F134" s="3" t="str">
        <f>IF(E134="","",E134*D134)</f>
        <v/>
      </c>
    </row>
    <row r="135" spans="1:6" ht="15" customHeight="1" x14ac:dyDescent="0.3">
      <c r="A135" s="3" t="s">
        <v>108</v>
      </c>
      <c r="B135" s="4" t="s">
        <v>109</v>
      </c>
      <c r="C135" s="3">
        <v>6</v>
      </c>
      <c r="D135" s="3">
        <v>2</v>
      </c>
      <c r="E135" s="3" t="str">
        <f>IFERROR(IF(ISBLANK(INDEX([1]Nilai_Mutu_MK!$F$2:$F$58,MATCH($A135,[1]Nilai_Mutu_MK!$B$2:$B$58,0))),"",INDEX([1]Nilai_Mutu_MK!$F$2:$F$58,MATCH($A135,[1]Nilai_Mutu_MK!$B$2:$B$58,0))),"")</f>
        <v/>
      </c>
      <c r="F135" s="3" t="str">
        <f>IF(E135="","",E135*D135)</f>
        <v/>
      </c>
    </row>
    <row r="136" spans="1:6" ht="15" customHeight="1" x14ac:dyDescent="0.3">
      <c r="A136" s="3" t="s">
        <v>79</v>
      </c>
      <c r="B136" s="4" t="s">
        <v>80</v>
      </c>
      <c r="C136" s="3">
        <v>7</v>
      </c>
      <c r="D136" s="3">
        <v>2</v>
      </c>
      <c r="E136" s="3" t="str">
        <f>IFERROR(IF(ISBLANK(INDEX([1]Nilai_Mutu_MK!$F$2:$F$58,MATCH($A136,[1]Nilai_Mutu_MK!$B$2:$B$58,0))),"",INDEX([1]Nilai_Mutu_MK!$F$2:$F$58,MATCH($A136,[1]Nilai_Mutu_MK!$B$2:$B$58,0))),"")</f>
        <v/>
      </c>
      <c r="F136" s="3" t="str">
        <f>IF(E136="","",E136*D136)</f>
        <v/>
      </c>
    </row>
    <row r="137" spans="1:6" x14ac:dyDescent="0.3">
      <c r="C137" s="5" t="s">
        <v>93</v>
      </c>
      <c r="D137" s="6">
        <f>SUM(D132:D136)</f>
        <v>10</v>
      </c>
    </row>
    <row r="138" spans="1:6" ht="66" x14ac:dyDescent="0.3">
      <c r="C138" s="5" t="s">
        <v>130</v>
      </c>
      <c r="D138" s="7" t="str">
        <f>IFERROR(SUM(F132:F136)/SUMPRODUCT(ISNUMBER(E132:E136)*D132:D136),"belum ada nilai diisi")</f>
        <v>belum ada nilai diisi</v>
      </c>
    </row>
    <row r="140" spans="1:6" ht="19.5" customHeight="1" x14ac:dyDescent="0.3">
      <c r="A140" s="1" t="s">
        <v>131</v>
      </c>
      <c r="B140" s="1"/>
      <c r="C140" s="1"/>
      <c r="D140" s="1"/>
      <c r="E140" s="1"/>
      <c r="F140" s="1"/>
    </row>
    <row r="141" spans="1:6" ht="24" x14ac:dyDescent="0.3">
      <c r="A141" s="2" t="s">
        <v>1</v>
      </c>
      <c r="B141" s="2" t="s">
        <v>2</v>
      </c>
      <c r="C141" s="2" t="s">
        <v>3</v>
      </c>
      <c r="D141" s="2" t="s">
        <v>4</v>
      </c>
      <c r="E141" s="2" t="s">
        <v>5</v>
      </c>
      <c r="F141" s="2" t="s">
        <v>6</v>
      </c>
    </row>
    <row r="142" spans="1:6" ht="15" customHeight="1" x14ac:dyDescent="0.3">
      <c r="A142" s="3" t="s">
        <v>9</v>
      </c>
      <c r="B142" s="4" t="s">
        <v>10</v>
      </c>
      <c r="C142" s="3">
        <v>1</v>
      </c>
      <c r="D142" s="3">
        <v>4</v>
      </c>
      <c r="E142" s="3" t="str">
        <f>IFERROR(IF(ISBLANK(INDEX([1]Nilai_Mutu_MK!$F$2:$F$58,MATCH($A142,[1]Nilai_Mutu_MK!$B$2:$B$58,0))),"",INDEX([1]Nilai_Mutu_MK!$F$2:$F$58,MATCH($A142,[1]Nilai_Mutu_MK!$B$2:$B$58,0))),"")</f>
        <v/>
      </c>
      <c r="F142" s="3" t="str">
        <f t="shared" ref="F142:F146" si="3">IF(E142="","",E142*D142)</f>
        <v/>
      </c>
    </row>
    <row r="143" spans="1:6" ht="15" customHeight="1" x14ac:dyDescent="0.3">
      <c r="A143" s="3" t="s">
        <v>11</v>
      </c>
      <c r="B143" s="4" t="s">
        <v>12</v>
      </c>
      <c r="C143" s="3">
        <v>1</v>
      </c>
      <c r="D143" s="3">
        <v>4</v>
      </c>
      <c r="E143" s="3" t="str">
        <f>IFERROR(IF(ISBLANK(INDEX([1]Nilai_Mutu_MK!$F$2:$F$58,MATCH($A143,[1]Nilai_Mutu_MK!$B$2:$B$58,0))),"",INDEX([1]Nilai_Mutu_MK!$F$2:$F$58,MATCH($A143,[1]Nilai_Mutu_MK!$B$2:$B$58,0))),"")</f>
        <v/>
      </c>
      <c r="F143" s="3" t="str">
        <f t="shared" si="3"/>
        <v/>
      </c>
    </row>
    <row r="144" spans="1:6" ht="15" customHeight="1" x14ac:dyDescent="0.3">
      <c r="A144" s="3" t="s">
        <v>19</v>
      </c>
      <c r="B144" s="4" t="s">
        <v>20</v>
      </c>
      <c r="C144" s="3">
        <v>2</v>
      </c>
      <c r="D144" s="3">
        <v>4</v>
      </c>
      <c r="E144" s="3" t="str">
        <f>IFERROR(IF(ISBLANK(INDEX([1]Nilai_Mutu_MK!$F$2:$F$58,MATCH($A144,[1]Nilai_Mutu_MK!$B$2:$B$58,0))),"",INDEX([1]Nilai_Mutu_MK!$F$2:$F$58,MATCH($A144,[1]Nilai_Mutu_MK!$B$2:$B$58,0))),"")</f>
        <v/>
      </c>
      <c r="F144" s="3" t="str">
        <f t="shared" si="3"/>
        <v/>
      </c>
    </row>
    <row r="145" spans="1:6" ht="15" customHeight="1" x14ac:dyDescent="0.3">
      <c r="A145" s="3" t="s">
        <v>21</v>
      </c>
      <c r="B145" s="4" t="s">
        <v>22</v>
      </c>
      <c r="C145" s="3">
        <v>2</v>
      </c>
      <c r="D145" s="3">
        <v>4</v>
      </c>
      <c r="E145" s="3" t="str">
        <f>IFERROR(IF(ISBLANK(INDEX([1]Nilai_Mutu_MK!$F$2:$F$58,MATCH($A145,[1]Nilai_Mutu_MK!$B$2:$B$58,0))),"",INDEX([1]Nilai_Mutu_MK!$F$2:$F$58,MATCH($A145,[1]Nilai_Mutu_MK!$B$2:$B$58,0))),"")</f>
        <v/>
      </c>
      <c r="F145" s="3" t="str">
        <f t="shared" si="3"/>
        <v/>
      </c>
    </row>
    <row r="146" spans="1:6" ht="15" customHeight="1" x14ac:dyDescent="0.3">
      <c r="A146" s="3" t="s">
        <v>27</v>
      </c>
      <c r="B146" s="4" t="s">
        <v>28</v>
      </c>
      <c r="C146" s="3">
        <v>3</v>
      </c>
      <c r="D146" s="3">
        <v>3</v>
      </c>
      <c r="E146" s="3" t="str">
        <f>IFERROR(IF(ISBLANK(INDEX([1]Nilai_Mutu_MK!$F$2:$F$58,MATCH($A146,[1]Nilai_Mutu_MK!$B$2:$B$58,0))),"",INDEX([1]Nilai_Mutu_MK!$F$2:$F$58,MATCH($A146,[1]Nilai_Mutu_MK!$B$2:$B$58,0))),"")</f>
        <v/>
      </c>
      <c r="F146" s="3" t="str">
        <f t="shared" si="3"/>
        <v/>
      </c>
    </row>
    <row r="147" spans="1:6" ht="15" customHeight="1" x14ac:dyDescent="0.3">
      <c r="A147" s="3" t="s">
        <v>31</v>
      </c>
      <c r="B147" s="4" t="s">
        <v>32</v>
      </c>
      <c r="C147" s="3">
        <v>3</v>
      </c>
      <c r="D147" s="3">
        <v>3</v>
      </c>
      <c r="E147" s="3" t="str">
        <f>IFERROR(IF(ISBLANK(INDEX([1]Nilai_Mutu_MK!$F$2:$F$58,MATCH($A147,[1]Nilai_Mutu_MK!$B$2:$B$58,0))),"",INDEX([1]Nilai_Mutu_MK!$F$2:$F$58,MATCH($A147,[1]Nilai_Mutu_MK!$B$2:$B$58,0))),"")</f>
        <v/>
      </c>
      <c r="F147" s="3" t="str">
        <f>IF(E147="","",E147*D147)</f>
        <v/>
      </c>
    </row>
    <row r="148" spans="1:6" ht="15" customHeight="1" x14ac:dyDescent="0.3">
      <c r="A148" s="3" t="s">
        <v>33</v>
      </c>
      <c r="B148" s="4" t="s">
        <v>34</v>
      </c>
      <c r="C148" s="3">
        <v>3</v>
      </c>
      <c r="D148" s="3">
        <v>2</v>
      </c>
      <c r="E148" s="3" t="str">
        <f>IFERROR(IF(ISBLANK(INDEX([1]Nilai_Mutu_MK!$F$2:$F$58,MATCH($A148,[1]Nilai_Mutu_MK!$B$2:$B$58,0))),"",INDEX([1]Nilai_Mutu_MK!$F$2:$F$58,MATCH($A148,[1]Nilai_Mutu_MK!$B$2:$B$58,0))),"")</f>
        <v/>
      </c>
      <c r="F148" s="3" t="str">
        <f>IF(E148="","",E148*D148)</f>
        <v/>
      </c>
    </row>
    <row r="149" spans="1:6" ht="15" customHeight="1" x14ac:dyDescent="0.3">
      <c r="A149" s="3" t="s">
        <v>96</v>
      </c>
      <c r="B149" s="4" t="s">
        <v>97</v>
      </c>
      <c r="C149" s="3">
        <v>3</v>
      </c>
      <c r="D149" s="3">
        <v>2</v>
      </c>
      <c r="E149" s="3" t="str">
        <f>IFERROR(IF(ISBLANK(INDEX([1]Nilai_Mutu_MK!$F$2:$F$58,MATCH($A149,[1]Nilai_Mutu_MK!$B$2:$B$58,0))),"",INDEX([1]Nilai_Mutu_MK!$F$2:$F$58,MATCH($A149,[1]Nilai_Mutu_MK!$B$2:$B$58,0))),"")</f>
        <v/>
      </c>
      <c r="F149" s="3" t="str">
        <f>IF(E149="","",E149*D149)</f>
        <v/>
      </c>
    </row>
    <row r="150" spans="1:6" ht="15" customHeight="1" x14ac:dyDescent="0.3">
      <c r="A150" s="3" t="s">
        <v>43</v>
      </c>
      <c r="B150" s="4" t="s">
        <v>44</v>
      </c>
      <c r="C150" s="3">
        <v>4</v>
      </c>
      <c r="D150" s="3">
        <v>3</v>
      </c>
      <c r="E150" s="3" t="str">
        <f>IFERROR(IF(ISBLANK(INDEX([1]Nilai_Mutu_MK!$F$2:$F$58,MATCH($A150,[1]Nilai_Mutu_MK!$B$2:$B$58,0))),"",INDEX([1]Nilai_Mutu_MK!$F$2:$F$58,MATCH($A150,[1]Nilai_Mutu_MK!$B$2:$B$58,0))),"")</f>
        <v/>
      </c>
      <c r="F150" s="3" t="str">
        <f>IF(E150="","",E150*D150)</f>
        <v/>
      </c>
    </row>
    <row r="151" spans="1:6" ht="15" customHeight="1" x14ac:dyDescent="0.3">
      <c r="A151" s="3" t="s">
        <v>47</v>
      </c>
      <c r="B151" s="4" t="s">
        <v>48</v>
      </c>
      <c r="C151" s="3">
        <v>4</v>
      </c>
      <c r="D151" s="3">
        <v>2</v>
      </c>
      <c r="E151" s="3" t="str">
        <f>IFERROR(IF(ISBLANK(INDEX([1]Nilai_Mutu_MK!$F$2:$F$58,MATCH($A151,[1]Nilai_Mutu_MK!$B$2:$B$58,0))),"",INDEX([1]Nilai_Mutu_MK!$F$2:$F$58,MATCH($A151,[1]Nilai_Mutu_MK!$B$2:$B$58,0))),"")</f>
        <v/>
      </c>
      <c r="F151" s="3" t="str">
        <f>IF(E151="","",E151*D151)</f>
        <v/>
      </c>
    </row>
    <row r="152" spans="1:6" ht="15" customHeight="1" x14ac:dyDescent="0.3">
      <c r="A152" s="3" t="s">
        <v>71</v>
      </c>
      <c r="B152" s="4" t="s">
        <v>72</v>
      </c>
      <c r="C152" s="3">
        <v>6</v>
      </c>
      <c r="D152" s="3">
        <v>2</v>
      </c>
      <c r="E152" s="3" t="str">
        <f>IFERROR(IF(ISBLANK(INDEX([1]Nilai_Mutu_MK!$F$2:$F$58,MATCH($A152,[1]Nilai_Mutu_MK!$B$2:$B$58,0))),"",INDEX([1]Nilai_Mutu_MK!$F$2:$F$58,MATCH($A152,[1]Nilai_Mutu_MK!$B$2:$B$58,0))),"")</f>
        <v/>
      </c>
      <c r="F152" s="3" t="str">
        <f>IF(E152="","",E152*D152)</f>
        <v/>
      </c>
    </row>
    <row r="153" spans="1:6" ht="15" customHeight="1" x14ac:dyDescent="0.3">
      <c r="A153" s="3" t="s">
        <v>81</v>
      </c>
      <c r="B153" s="4" t="s">
        <v>82</v>
      </c>
      <c r="C153" s="3">
        <v>7</v>
      </c>
      <c r="D153" s="3">
        <v>4</v>
      </c>
      <c r="E153" s="3" t="str">
        <f>IFERROR(IF(ISBLANK(INDEX([1]Nilai_Mutu_MK!$F$2:$F$58,MATCH($A153,[1]Nilai_Mutu_MK!$B$2:$B$58,0))),"",INDEX([1]Nilai_Mutu_MK!$F$2:$F$58,MATCH($A153,[1]Nilai_Mutu_MK!$B$2:$B$58,0))),"")</f>
        <v/>
      </c>
      <c r="F153" s="3" t="str">
        <f>IF(E153="","",E153*D153)</f>
        <v/>
      </c>
    </row>
    <row r="154" spans="1:6" ht="15" customHeight="1" x14ac:dyDescent="0.3">
      <c r="A154" s="3" t="s">
        <v>83</v>
      </c>
      <c r="B154" s="4" t="s">
        <v>84</v>
      </c>
      <c r="C154" s="3">
        <v>7</v>
      </c>
      <c r="D154" s="3">
        <v>2</v>
      </c>
      <c r="E154" s="3" t="str">
        <f>IFERROR(IF(ISBLANK(INDEX([1]Nilai_Mutu_MK!$F$2:$F$58,MATCH($A154,[1]Nilai_Mutu_MK!$B$2:$B$58,0))),"",INDEX([1]Nilai_Mutu_MK!$F$2:$F$58,MATCH($A154,[1]Nilai_Mutu_MK!$B$2:$B$58,0))),"")</f>
        <v/>
      </c>
      <c r="F154" s="3" t="str">
        <f>IF(E154="","",E154*D154)</f>
        <v/>
      </c>
    </row>
    <row r="155" spans="1:6" ht="15" customHeight="1" x14ac:dyDescent="0.3">
      <c r="A155" s="3" t="s">
        <v>89</v>
      </c>
      <c r="B155" s="4" t="s">
        <v>90</v>
      </c>
      <c r="C155" s="3">
        <v>8</v>
      </c>
      <c r="D155" s="3">
        <v>6</v>
      </c>
      <c r="E155" s="3" t="str">
        <f>IFERROR(IF(ISBLANK(INDEX([1]Nilai_Mutu_MK!$F$2:$F$58,MATCH($A155,[1]Nilai_Mutu_MK!$B$2:$B$58,0))),"",INDEX([1]Nilai_Mutu_MK!$F$2:$F$58,MATCH($A155,[1]Nilai_Mutu_MK!$B$2:$B$58,0))),"")</f>
        <v/>
      </c>
      <c r="F155" s="3" t="str">
        <f>IF(E155="","",E155*D155)</f>
        <v/>
      </c>
    </row>
    <row r="156" spans="1:6" ht="15" customHeight="1" x14ac:dyDescent="0.3">
      <c r="C156" s="5" t="s">
        <v>93</v>
      </c>
      <c r="D156" s="6">
        <f>SUM(D142:D155)</f>
        <v>45</v>
      </c>
    </row>
    <row r="157" spans="1:6" ht="66" x14ac:dyDescent="0.3">
      <c r="C157" s="5" t="s">
        <v>132</v>
      </c>
      <c r="D157" s="7" t="str">
        <f>IFERROR(SUM(F142:F155)/SUMPRODUCT(ISNUMBER(E142:E155)*D142:D155),"belum ada nilai diisi")</f>
        <v>belum ada nilai diisi</v>
      </c>
    </row>
    <row r="160" spans="1:6" ht="19.5" customHeight="1" x14ac:dyDescent="0.3">
      <c r="A160" s="1" t="s">
        <v>133</v>
      </c>
      <c r="B160" s="1"/>
      <c r="C160" s="1"/>
      <c r="D160" s="1"/>
      <c r="E160" s="1"/>
      <c r="F160" s="1"/>
    </row>
    <row r="161" spans="1:6" ht="24" x14ac:dyDescent="0.3">
      <c r="A161" s="2" t="s">
        <v>1</v>
      </c>
      <c r="B161" s="2" t="s">
        <v>2</v>
      </c>
      <c r="C161" s="2" t="s">
        <v>3</v>
      </c>
      <c r="D161" s="2" t="s">
        <v>4</v>
      </c>
      <c r="E161" s="2" t="s">
        <v>5</v>
      </c>
      <c r="F161" s="2" t="s">
        <v>6</v>
      </c>
    </row>
    <row r="162" spans="1:6" ht="15" customHeight="1" x14ac:dyDescent="0.3">
      <c r="A162" s="3" t="s">
        <v>43</v>
      </c>
      <c r="B162" s="4" t="s">
        <v>44</v>
      </c>
      <c r="C162" s="3">
        <v>4</v>
      </c>
      <c r="D162" s="3">
        <v>3</v>
      </c>
      <c r="E162" s="3" t="str">
        <f>IFERROR(IF(ISBLANK(INDEX([1]Nilai_Mutu_MK!$F$2:$F$58,MATCH($A162,[1]Nilai_Mutu_MK!$B$2:$B$58,0))),"",INDEX([1]Nilai_Mutu_MK!$F$2:$F$58,MATCH($A162,[1]Nilai_Mutu_MK!$B$2:$B$58,0))),"")</f>
        <v/>
      </c>
      <c r="F162" s="3" t="str">
        <f t="shared" ref="F162:F170" si="4">IF(E162="","",E162*D162)</f>
        <v/>
      </c>
    </row>
    <row r="163" spans="1:6" ht="15" customHeight="1" x14ac:dyDescent="0.3">
      <c r="A163" s="3" t="s">
        <v>55</v>
      </c>
      <c r="B163" s="4" t="s">
        <v>56</v>
      </c>
      <c r="C163" s="3">
        <v>5</v>
      </c>
      <c r="D163" s="3">
        <v>3</v>
      </c>
      <c r="E163" s="3" t="str">
        <f>IFERROR(IF(ISBLANK(INDEX([1]Nilai_Mutu_MK!$F$2:$F$58,MATCH($A163,[1]Nilai_Mutu_MK!$B$2:$B$58,0))),"",INDEX([1]Nilai_Mutu_MK!$F$2:$F$58,MATCH($A163,[1]Nilai_Mutu_MK!$B$2:$B$58,0))),"")</f>
        <v/>
      </c>
      <c r="F163" s="3" t="str">
        <f t="shared" si="4"/>
        <v/>
      </c>
    </row>
    <row r="164" spans="1:6" ht="15" customHeight="1" x14ac:dyDescent="0.3">
      <c r="A164" s="3" t="s">
        <v>100</v>
      </c>
      <c r="B164" s="4" t="s">
        <v>101</v>
      </c>
      <c r="C164" s="3">
        <v>5</v>
      </c>
      <c r="D164" s="3">
        <v>2</v>
      </c>
      <c r="E164" s="3" t="str">
        <f>IFERROR(IF(ISBLANK(INDEX([1]Nilai_Mutu_MK!$F$2:$F$58,MATCH($A164,[1]Nilai_Mutu_MK!$B$2:$B$58,0))),"",INDEX([1]Nilai_Mutu_MK!$F$2:$F$58,MATCH($A164,[1]Nilai_Mutu_MK!$B$2:$B$58,0))),"")</f>
        <v/>
      </c>
      <c r="F164" s="3" t="str">
        <f t="shared" si="4"/>
        <v/>
      </c>
    </row>
    <row r="165" spans="1:6" ht="15" customHeight="1" x14ac:dyDescent="0.3">
      <c r="A165" s="3" t="s">
        <v>57</v>
      </c>
      <c r="B165" s="4" t="s">
        <v>58</v>
      </c>
      <c r="C165" s="3">
        <v>5</v>
      </c>
      <c r="D165" s="3">
        <v>3</v>
      </c>
      <c r="E165" s="3" t="str">
        <f>IFERROR(IF(ISBLANK(INDEX([1]Nilai_Mutu_MK!$F$2:$F$58,MATCH($A165,[1]Nilai_Mutu_MK!$B$2:$B$58,0))),"",INDEX([1]Nilai_Mutu_MK!$F$2:$F$58,MATCH($A165,[1]Nilai_Mutu_MK!$B$2:$B$58,0))),"")</f>
        <v/>
      </c>
      <c r="F165" s="3" t="str">
        <f t="shared" si="4"/>
        <v/>
      </c>
    </row>
    <row r="166" spans="1:6" ht="15" customHeight="1" x14ac:dyDescent="0.3">
      <c r="A166" s="3" t="s">
        <v>59</v>
      </c>
      <c r="B166" s="4" t="s">
        <v>60</v>
      </c>
      <c r="C166" s="3">
        <v>5</v>
      </c>
      <c r="D166" s="3">
        <v>2</v>
      </c>
      <c r="E166" s="3" t="str">
        <f>IFERROR(IF(ISBLANK(INDEX([1]Nilai_Mutu_MK!$F$2:$F$58,MATCH($A166,[1]Nilai_Mutu_MK!$B$2:$B$58,0))),"",INDEX([1]Nilai_Mutu_MK!$F$2:$F$58,MATCH($A166,[1]Nilai_Mutu_MK!$B$2:$B$58,0))),"")</f>
        <v/>
      </c>
      <c r="F166" s="3" t="str">
        <f t="shared" si="4"/>
        <v/>
      </c>
    </row>
    <row r="167" spans="1:6" ht="15" customHeight="1" x14ac:dyDescent="0.3">
      <c r="A167" s="3" t="s">
        <v>104</v>
      </c>
      <c r="B167" s="4" t="s">
        <v>105</v>
      </c>
      <c r="C167" s="3">
        <v>6</v>
      </c>
      <c r="D167" s="3">
        <v>2</v>
      </c>
      <c r="E167" s="3" t="str">
        <f>IFERROR(IF(ISBLANK(INDEX([1]Nilai_Mutu_MK!$F$2:$F$58,MATCH($A167,[1]Nilai_Mutu_MK!$B$2:$B$58,0))),"",INDEX([1]Nilai_Mutu_MK!$F$2:$F$58,MATCH($A167,[1]Nilai_Mutu_MK!$B$2:$B$58,0))),"")</f>
        <v/>
      </c>
      <c r="F167" s="3" t="str">
        <f t="shared" si="4"/>
        <v/>
      </c>
    </row>
    <row r="168" spans="1:6" ht="15" customHeight="1" x14ac:dyDescent="0.3">
      <c r="A168" s="3" t="s">
        <v>106</v>
      </c>
      <c r="B168" s="4" t="s">
        <v>107</v>
      </c>
      <c r="C168" s="3">
        <v>6</v>
      </c>
      <c r="D168" s="3">
        <v>2</v>
      </c>
      <c r="E168" s="3" t="str">
        <f>IFERROR(IF(ISBLANK(INDEX([1]Nilai_Mutu_MK!$F$2:$F$58,MATCH($A168,[1]Nilai_Mutu_MK!$B$2:$B$58,0))),"",INDEX([1]Nilai_Mutu_MK!$F$2:$F$58,MATCH($A168,[1]Nilai_Mutu_MK!$B$2:$B$58,0))),"")</f>
        <v/>
      </c>
      <c r="F168" s="3" t="str">
        <f t="shared" si="4"/>
        <v/>
      </c>
    </row>
    <row r="169" spans="1:6" ht="15" customHeight="1" x14ac:dyDescent="0.3">
      <c r="A169" s="3" t="s">
        <v>108</v>
      </c>
      <c r="B169" s="4" t="s">
        <v>109</v>
      </c>
      <c r="C169" s="3">
        <v>6</v>
      </c>
      <c r="D169" s="3">
        <v>2</v>
      </c>
      <c r="E169" s="3" t="str">
        <f>IFERROR(IF(ISBLANK(INDEX([1]Nilai_Mutu_MK!$F$2:$F$58,MATCH($A169,[1]Nilai_Mutu_MK!$B$2:$B$58,0))),"",INDEX([1]Nilai_Mutu_MK!$F$2:$F$58,MATCH($A169,[1]Nilai_Mutu_MK!$B$2:$B$58,0))),"")</f>
        <v/>
      </c>
      <c r="F169" s="3" t="str">
        <f t="shared" si="4"/>
        <v/>
      </c>
    </row>
    <row r="170" spans="1:6" ht="15" customHeight="1" x14ac:dyDescent="0.3">
      <c r="A170" s="3" t="s">
        <v>83</v>
      </c>
      <c r="B170" s="4" t="s">
        <v>84</v>
      </c>
      <c r="C170" s="3">
        <v>7</v>
      </c>
      <c r="D170" s="3">
        <v>2</v>
      </c>
      <c r="E170" s="3" t="str">
        <f>IFERROR(IF(ISBLANK(INDEX([1]Nilai_Mutu_MK!$F$2:$F$58,MATCH($A170,[1]Nilai_Mutu_MK!$B$2:$B$58,0))),"",INDEX([1]Nilai_Mutu_MK!$F$2:$F$58,MATCH($A170,[1]Nilai_Mutu_MK!$B$2:$B$58,0))),"")</f>
        <v/>
      </c>
      <c r="F170" s="3" t="str">
        <f t="shared" si="4"/>
        <v/>
      </c>
    </row>
    <row r="171" spans="1:6" x14ac:dyDescent="0.3">
      <c r="C171" s="5" t="s">
        <v>93</v>
      </c>
      <c r="D171" s="6">
        <f>SUM(D162:D170)</f>
        <v>21</v>
      </c>
    </row>
    <row r="172" spans="1:6" ht="66" x14ac:dyDescent="0.3">
      <c r="C172" s="5" t="s">
        <v>134</v>
      </c>
      <c r="D172" s="7" t="str">
        <f>IFERROR(SUM(F162:F170)/SUMPRODUCT(ISNUMBER(E162:E170)*D162:D170),"belum ada nilai diisi")</f>
        <v>belum ada nilai diisi</v>
      </c>
    </row>
    <row r="174" spans="1:6" ht="19.5" customHeight="1" x14ac:dyDescent="0.3">
      <c r="A174" s="8" t="s">
        <v>135</v>
      </c>
      <c r="B174" s="8"/>
      <c r="C174" s="8"/>
      <c r="D174" s="8"/>
      <c r="E174" s="8"/>
      <c r="F174" s="8"/>
    </row>
    <row r="175" spans="1:6" ht="24" x14ac:dyDescent="0.3">
      <c r="A175" s="2" t="s">
        <v>1</v>
      </c>
      <c r="B175" s="2" t="s">
        <v>2</v>
      </c>
      <c r="C175" s="2" t="s">
        <v>3</v>
      </c>
      <c r="D175" s="2" t="s">
        <v>4</v>
      </c>
      <c r="E175" s="2" t="s">
        <v>5</v>
      </c>
      <c r="F175" s="2" t="s">
        <v>6</v>
      </c>
    </row>
    <row r="176" spans="1:6" ht="15" customHeight="1" x14ac:dyDescent="0.3">
      <c r="A176" s="9" t="s">
        <v>25</v>
      </c>
      <c r="B176" s="10" t="s">
        <v>136</v>
      </c>
      <c r="C176" s="9">
        <v>3</v>
      </c>
      <c r="D176" s="9">
        <v>2</v>
      </c>
      <c r="E176" s="3" t="str">
        <f>IFERROR(IF(ISBLANK(INDEX([1]Nilai_Mutu_MK!$F$2:$F$58,MATCH($A176,[1]Nilai_Mutu_MK!$B$2:$B$58,0))),"",INDEX([1]Nilai_Mutu_MK!$F$2:$F$58,MATCH($A176,[1]Nilai_Mutu_MK!$B$2:$B$58,0))),"")</f>
        <v/>
      </c>
      <c r="F176" s="3" t="str">
        <f t="shared" ref="F176:F181" si="5">IF(E176="","",E176*D176)</f>
        <v/>
      </c>
    </row>
    <row r="177" spans="1:6" ht="15" customHeight="1" x14ac:dyDescent="0.3">
      <c r="A177" s="9" t="s">
        <v>98</v>
      </c>
      <c r="B177" s="10" t="s">
        <v>137</v>
      </c>
      <c r="C177" s="9">
        <v>4</v>
      </c>
      <c r="D177" s="9">
        <v>2</v>
      </c>
      <c r="E177" s="3" t="str">
        <f>IFERROR(IF(ISBLANK(INDEX([1]Nilai_Mutu_MK!$F$2:$F$58,MATCH($A177,[1]Nilai_Mutu_MK!$B$2:$B$58,0))),"",INDEX([1]Nilai_Mutu_MK!$F$2:$F$58,MATCH($A177,[1]Nilai_Mutu_MK!$B$2:$B$58,0))),"")</f>
        <v/>
      </c>
      <c r="F177" s="3" t="str">
        <f t="shared" si="5"/>
        <v/>
      </c>
    </row>
    <row r="178" spans="1:6" ht="15" customHeight="1" x14ac:dyDescent="0.3">
      <c r="A178" s="9" t="s">
        <v>53</v>
      </c>
      <c r="B178" s="10" t="s">
        <v>138</v>
      </c>
      <c r="C178" s="9">
        <v>5</v>
      </c>
      <c r="D178" s="9">
        <v>2</v>
      </c>
      <c r="E178" s="3" t="str">
        <f>IFERROR(IF(ISBLANK(INDEX([1]Nilai_Mutu_MK!$F$2:$F$58,MATCH($A178,[1]Nilai_Mutu_MK!$B$2:$B$58,0))),"",INDEX([1]Nilai_Mutu_MK!$F$2:$F$58,MATCH($A178,[1]Nilai_Mutu_MK!$B$2:$B$58,0))),"")</f>
        <v/>
      </c>
      <c r="F178" s="3" t="str">
        <f t="shared" si="5"/>
        <v/>
      </c>
    </row>
    <row r="179" spans="1:6" ht="15" customHeight="1" x14ac:dyDescent="0.3">
      <c r="A179" s="3" t="s">
        <v>71</v>
      </c>
      <c r="B179" s="4" t="s">
        <v>72</v>
      </c>
      <c r="C179" s="3">
        <v>6</v>
      </c>
      <c r="D179" s="3">
        <v>2</v>
      </c>
      <c r="E179" s="3" t="str">
        <f>IFERROR(IF(ISBLANK(INDEX([1]Nilai_Mutu_MK!$F$2:$F$58,MATCH($A179,[1]Nilai_Mutu_MK!$B$2:$B$58,0))),"",INDEX([1]Nilai_Mutu_MK!$F$2:$F$58,MATCH($A179,[1]Nilai_Mutu_MK!$B$2:$B$58,0))),"")</f>
        <v/>
      </c>
      <c r="F179" s="3" t="str">
        <f t="shared" si="5"/>
        <v/>
      </c>
    </row>
    <row r="180" spans="1:6" ht="15" customHeight="1" x14ac:dyDescent="0.3">
      <c r="A180" s="9" t="s">
        <v>110</v>
      </c>
      <c r="B180" s="10" t="s">
        <v>139</v>
      </c>
      <c r="C180" s="9">
        <v>7</v>
      </c>
      <c r="D180" s="9">
        <v>2</v>
      </c>
      <c r="E180" s="3" t="str">
        <f>IFERROR(IF(ISBLANK(INDEX([1]Nilai_Mutu_MK!$F$2:$F$58,MATCH($A180,[1]Nilai_Mutu_MK!$B$2:$B$58,0))),"",INDEX([1]Nilai_Mutu_MK!$F$2:$F$58,MATCH($A180,[1]Nilai_Mutu_MK!$B$2:$B$58,0))),"")</f>
        <v/>
      </c>
      <c r="F180" s="3" t="str">
        <f t="shared" si="5"/>
        <v/>
      </c>
    </row>
    <row r="181" spans="1:6" ht="15" customHeight="1" x14ac:dyDescent="0.3">
      <c r="A181" s="9" t="s">
        <v>81</v>
      </c>
      <c r="B181" s="10" t="s">
        <v>140</v>
      </c>
      <c r="C181" s="9">
        <v>7</v>
      </c>
      <c r="D181" s="9">
        <v>4</v>
      </c>
      <c r="E181" s="3" t="str">
        <f>IFERROR(IF(ISBLANK(INDEX([1]Nilai_Mutu_MK!$F$2:$F$58,MATCH($A181,[1]Nilai_Mutu_MK!$B$2:$B$58,0))),"",INDEX([1]Nilai_Mutu_MK!$F$2:$F$58,MATCH($A181,[1]Nilai_Mutu_MK!$B$2:$B$58,0))),"")</f>
        <v/>
      </c>
      <c r="F181" s="3" t="str">
        <f t="shared" si="5"/>
        <v/>
      </c>
    </row>
    <row r="182" spans="1:6" x14ac:dyDescent="0.3">
      <c r="C182" s="5" t="s">
        <v>93</v>
      </c>
      <c r="D182" s="6">
        <f>SUM(D176:D181)</f>
        <v>14</v>
      </c>
    </row>
    <row r="183" spans="1:6" ht="66" x14ac:dyDescent="0.3">
      <c r="C183" s="5" t="s">
        <v>141</v>
      </c>
      <c r="D183" s="7" t="str">
        <f>IFERROR(SUM(F176:F181)/SUMPRODUCT(ISNUMBER(E176:E181)*D176:D181),"belum ada nilai diisi")</f>
        <v>belum ada nilai diisi</v>
      </c>
    </row>
    <row r="185" spans="1:6" ht="19.5" customHeight="1" x14ac:dyDescent="0.3">
      <c r="A185" s="1" t="s">
        <v>142</v>
      </c>
      <c r="B185" s="1"/>
      <c r="C185" s="1"/>
      <c r="D185" s="1"/>
      <c r="E185" s="1"/>
      <c r="F185" s="1"/>
    </row>
    <row r="186" spans="1:6" ht="24" x14ac:dyDescent="0.3">
      <c r="A186" s="2" t="s">
        <v>1</v>
      </c>
      <c r="B186" s="2" t="s">
        <v>2</v>
      </c>
      <c r="C186" s="2" t="s">
        <v>3</v>
      </c>
      <c r="D186" s="2" t="s">
        <v>4</v>
      </c>
      <c r="E186" s="2" t="s">
        <v>5</v>
      </c>
      <c r="F186" s="2" t="s">
        <v>6</v>
      </c>
    </row>
    <row r="187" spans="1:6" ht="15" customHeight="1" x14ac:dyDescent="0.3">
      <c r="A187" s="9" t="s">
        <v>83</v>
      </c>
      <c r="B187" s="10" t="s">
        <v>143</v>
      </c>
      <c r="C187" s="9">
        <v>7</v>
      </c>
      <c r="D187" s="9">
        <v>2</v>
      </c>
      <c r="E187" s="3" t="str">
        <f>IFERROR(IF(ISBLANK(INDEX([1]Nilai_Mutu_MK!$F$2:$F$58,MATCH($A187,[1]Nilai_Mutu_MK!$B$2:$B$58,0))),"",INDEX([1]Nilai_Mutu_MK!$F$2:$F$58,MATCH($A187,[1]Nilai_Mutu_MK!$B$2:$B$58,0))),"")</f>
        <v/>
      </c>
      <c r="F187" s="3" t="str">
        <f>IF(E187="","",E187*D187)</f>
        <v/>
      </c>
    </row>
    <row r="188" spans="1:6" ht="15" customHeight="1" x14ac:dyDescent="0.3">
      <c r="A188" s="9" t="s">
        <v>81</v>
      </c>
      <c r="B188" s="10" t="s">
        <v>144</v>
      </c>
      <c r="C188" s="9">
        <v>7</v>
      </c>
      <c r="D188" s="9">
        <v>4</v>
      </c>
      <c r="E188" s="3" t="str">
        <f>IFERROR(IF(ISBLANK(INDEX([1]Nilai_Mutu_MK!$F$2:$F$58,MATCH($A188,[1]Nilai_Mutu_MK!$B$2:$B$58,0))),"",INDEX([1]Nilai_Mutu_MK!$F$2:$F$58,MATCH($A188,[1]Nilai_Mutu_MK!$B$2:$B$58,0))),"")</f>
        <v/>
      </c>
      <c r="F188" s="3" t="str">
        <f>IF(E188="","",E188*D188)</f>
        <v/>
      </c>
    </row>
    <row r="189" spans="1:6" ht="15" customHeight="1" x14ac:dyDescent="0.3">
      <c r="A189" s="9" t="s">
        <v>89</v>
      </c>
      <c r="B189" s="10" t="s">
        <v>145</v>
      </c>
      <c r="C189" s="9">
        <v>8</v>
      </c>
      <c r="D189" s="9">
        <v>6</v>
      </c>
      <c r="E189" s="3" t="str">
        <f>IFERROR(IF(ISBLANK(INDEX([1]Nilai_Mutu_MK!$F$2:$F$58,MATCH($A189,[1]Nilai_Mutu_MK!$B$2:$B$58,0))),"",INDEX([1]Nilai_Mutu_MK!$F$2:$F$58,MATCH($A189,[1]Nilai_Mutu_MK!$B$2:$B$58,0))),"")</f>
        <v/>
      </c>
      <c r="F189" s="3" t="str">
        <f>IF(E189="","",E189*D189)</f>
        <v/>
      </c>
    </row>
    <row r="190" spans="1:6" x14ac:dyDescent="0.3">
      <c r="A190" s="9" t="s">
        <v>85</v>
      </c>
      <c r="B190" s="10" t="s">
        <v>146</v>
      </c>
      <c r="C190" s="9">
        <v>7</v>
      </c>
      <c r="D190" s="9">
        <v>2</v>
      </c>
    </row>
    <row r="191" spans="1:6" x14ac:dyDescent="0.3">
      <c r="C191" s="5" t="s">
        <v>93</v>
      </c>
      <c r="D191" s="6">
        <f>SUM(D187:D189)</f>
        <v>12</v>
      </c>
    </row>
    <row r="192" spans="1:6" ht="66" x14ac:dyDescent="0.3">
      <c r="C192" s="5" t="s">
        <v>147</v>
      </c>
      <c r="D192" s="7" t="str">
        <f>IFERROR(SUM(F187:F189)/SUMPRODUCT(ISNUMBER(E187:E189)*D187:D189),"belum ada nilai diisi")</f>
        <v>belum ada nilai diisi</v>
      </c>
    </row>
  </sheetData>
  <mergeCells count="9">
    <mergeCell ref="A160:F160"/>
    <mergeCell ref="A174:F174"/>
    <mergeCell ref="A185:F185"/>
    <mergeCell ref="A1:F1"/>
    <mergeCell ref="A48:F48"/>
    <mergeCell ref="A89:F89"/>
    <mergeCell ref="A108:F108"/>
    <mergeCell ref="A130:F130"/>
    <mergeCell ref="A140:F14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Sheet1!_Hlk231732097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lanang delonix</dc:creator>
  <cp:lastModifiedBy>lanang delonix</cp:lastModifiedBy>
  <dcterms:created xsi:type="dcterms:W3CDTF">2026-09-20T05:07:58Z</dcterms:created>
  <dcterms:modified xsi:type="dcterms:W3CDTF">2026-09-20T06:57:34Z</dcterms:modified>
</cp:coreProperties>
</file>